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Copper (LME)" sheetId="1" state="visible" r:id="rId1"/>
    <sheet xmlns:r="http://schemas.openxmlformats.org/officeDocument/2006/relationships" name="LA Aluminium" sheetId="2" state="visible" r:id="rId2"/>
    <sheet xmlns:r="http://schemas.openxmlformats.org/officeDocument/2006/relationships" name="GC Gold" sheetId="3" state="visible" r:id="rId3"/>
    <sheet xmlns:r="http://schemas.openxmlformats.org/officeDocument/2006/relationships" name="SI Silver" sheetId="4" state="visible" r:id="rId4"/>
    <sheet xmlns:r="http://schemas.openxmlformats.org/officeDocument/2006/relationships" name="HG Copper (COMEX)" sheetId="5" state="visible" r:id="rId5"/>
    <sheet xmlns:r="http://schemas.openxmlformats.org/officeDocument/2006/relationships" name="PL Platinum" sheetId="6" state="visible" r:id="rId6"/>
    <sheet xmlns:r="http://schemas.openxmlformats.org/officeDocument/2006/relationships" name="PA Palladium" sheetId="7" state="visible" r:id="rId7"/>
    <sheet xmlns:r="http://schemas.openxmlformats.org/officeDocument/2006/relationships" name="LL Lead" sheetId="8" state="visible" r:id="rId8"/>
    <sheet xmlns:r="http://schemas.openxmlformats.org/officeDocument/2006/relationships" name="LX Zin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1F3864"/>
      <sz val="13"/>
    </font>
    <font>
      <b val="1"/>
      <color rgb="002F5496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Copper (LME)</t>
        </is>
      </c>
    </row>
    <row r="2">
      <c r="A2" s="2" t="inlineStr">
        <is>
          <t>Ticker: LP  |  LME,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0.5399</v>
      </c>
      <c r="C7" s="7" t="n">
        <v>-0.5764</v>
      </c>
      <c r="D7" s="7" t="n">
        <v>-0.1095</v>
      </c>
      <c r="G7" s="8" t="inlineStr">
        <is>
          <t>Low</t>
        </is>
      </c>
      <c r="H7" s="9" t="n">
        <v>42.74</v>
      </c>
      <c r="I7" s="10" t="n">
        <v>2099</v>
      </c>
    </row>
    <row r="8">
      <c r="A8" s="6" t="inlineStr">
        <is>
          <t>Momentum: MA(5,60)</t>
        </is>
      </c>
      <c r="B8" s="7" t="n">
        <v>0.4355</v>
      </c>
      <c r="C8" s="7" t="n">
        <v>-0.25</v>
      </c>
      <c r="D8" s="7" t="n">
        <v>-0.0131</v>
      </c>
      <c r="G8" s="8" t="inlineStr">
        <is>
          <t>Medium</t>
        </is>
      </c>
      <c r="H8" s="9" t="n">
        <v>32.89</v>
      </c>
      <c r="I8" s="10" t="n">
        <v>1615</v>
      </c>
    </row>
    <row r="9">
      <c r="A9" s="6" t="inlineStr">
        <is>
          <t>Momentum: MA(20,250)</t>
        </is>
      </c>
      <c r="B9" s="7" t="n">
        <v>0.2166</v>
      </c>
      <c r="C9" s="7" t="n">
        <v>-0.195</v>
      </c>
      <c r="D9" s="7" t="n">
        <v>0.4085</v>
      </c>
      <c r="G9" s="8" t="inlineStr">
        <is>
          <t>High</t>
        </is>
      </c>
      <c r="H9" s="9" t="n">
        <v>24.37</v>
      </c>
      <c r="I9" s="10" t="n">
        <v>1197</v>
      </c>
    </row>
    <row r="10">
      <c r="A10" s="6" t="inlineStr">
        <is>
          <t>Carry: V1 Level</t>
        </is>
      </c>
      <c r="B10" s="7" t="n">
        <v>-0.7508</v>
      </c>
      <c r="C10" s="7" t="n">
        <v>0.2341</v>
      </c>
      <c r="D10" s="7" t="n">
        <v>0.3325</v>
      </c>
    </row>
    <row r="11">
      <c r="A11" s="6" t="inlineStr">
        <is>
          <t>Carry: V2 Z-score</t>
        </is>
      </c>
      <c r="B11" s="7" t="n">
        <v>-0.1602</v>
      </c>
      <c r="C11" s="7" t="n">
        <v>0.1732</v>
      </c>
      <c r="D11" s="7" t="n">
        <v>0.7675999999999999</v>
      </c>
    </row>
    <row r="12">
      <c r="A12" s="6" t="inlineStr">
        <is>
          <t>Carry: V3 Carry-Mom</t>
        </is>
      </c>
      <c r="B12" s="7" t="n">
        <v>-0.0482</v>
      </c>
      <c r="C12" s="7" t="n">
        <v>1.1683</v>
      </c>
      <c r="D12" s="7" t="n">
        <v>-0.2909</v>
      </c>
    </row>
    <row r="13">
      <c r="A13" s="6" t="inlineStr">
        <is>
          <t>Value: F8 5yr +/-10%</t>
        </is>
      </c>
      <c r="B13" s="7" t="n">
        <v>0.5629</v>
      </c>
      <c r="C13" s="7" t="n">
        <v>0.585</v>
      </c>
      <c r="D13" s="7" t="n">
        <v>-0.139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0.5399</v>
      </c>
      <c r="D17" s="10" t="n">
        <v>2099</v>
      </c>
      <c r="E17" s="10" t="n">
        <v>-0.0516</v>
      </c>
      <c r="F17" s="10" t="n">
        <v>2328</v>
      </c>
      <c r="G17" s="10" t="n">
        <v>1.558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-0.5764</v>
      </c>
      <c r="D18" s="10" t="n">
        <v>1615</v>
      </c>
      <c r="E18" s="10" t="n">
        <v>-0.0164</v>
      </c>
      <c r="F18" s="10" t="n">
        <v>1669</v>
      </c>
      <c r="G18" s="10" t="n">
        <v>-1.459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-0.1095</v>
      </c>
      <c r="D19" s="10" t="n">
        <v>1195</v>
      </c>
      <c r="E19" s="10" t="n">
        <v>-0.0161</v>
      </c>
      <c r="F19" s="10" t="n">
        <v>1234</v>
      </c>
      <c r="G19" s="10" t="n">
        <v>-0.238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0.4355</v>
      </c>
      <c r="D20" s="10" t="n">
        <v>2099</v>
      </c>
      <c r="E20" s="10" t="n">
        <v>-0.038</v>
      </c>
      <c r="F20" s="10" t="n">
        <v>2265</v>
      </c>
      <c r="G20" s="10" t="n">
        <v>1.257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-0.25</v>
      </c>
      <c r="D21" s="10" t="n">
        <v>1615</v>
      </c>
      <c r="E21" s="10" t="n">
        <v>-0.0564</v>
      </c>
      <c r="F21" s="10" t="n">
        <v>1808</v>
      </c>
      <c r="G21" s="10" t="n">
        <v>-0.633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-0.0131</v>
      </c>
      <c r="D22" s="10" t="n">
        <v>1197</v>
      </c>
      <c r="E22" s="10" t="n">
        <v>-0.0726</v>
      </c>
      <c r="F22" s="10" t="n">
        <v>1384</v>
      </c>
      <c r="G22" s="10" t="n">
        <v>-0.029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0.2166</v>
      </c>
      <c r="D23" s="10" t="n">
        <v>2099</v>
      </c>
      <c r="E23" s="10" t="n">
        <v>-0.0367</v>
      </c>
      <c r="F23" s="10" t="n">
        <v>2259</v>
      </c>
      <c r="G23" s="10" t="n">
        <v>0.625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-0.195</v>
      </c>
      <c r="D24" s="10" t="n">
        <v>1615</v>
      </c>
      <c r="E24" s="10" t="n">
        <v>-0.0389</v>
      </c>
      <c r="F24" s="10" t="n">
        <v>1746</v>
      </c>
      <c r="G24" s="10" t="n">
        <v>-0.494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0.4085</v>
      </c>
      <c r="D25" s="10" t="n">
        <v>1197</v>
      </c>
      <c r="E25" s="10" t="n">
        <v>-0.0548</v>
      </c>
      <c r="F25" s="10" t="n">
        <v>1336</v>
      </c>
      <c r="G25" s="10" t="n">
        <v>0.89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-0.7508</v>
      </c>
      <c r="D26" s="10" t="n">
        <v>2062</v>
      </c>
      <c r="E26" s="10" t="n">
        <v>-0.0356</v>
      </c>
      <c r="F26" s="10" t="n">
        <v>2214</v>
      </c>
      <c r="G26" s="10" t="n">
        <v>-2.148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0.2341</v>
      </c>
      <c r="D27" s="10" t="n">
        <v>1597</v>
      </c>
      <c r="E27" s="10" t="n">
        <v>-0.0408</v>
      </c>
      <c r="F27" s="10" t="n">
        <v>1733</v>
      </c>
      <c r="G27" s="10" t="n">
        <v>0.589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0.3325</v>
      </c>
      <c r="D28" s="10" t="n">
        <v>1188</v>
      </c>
      <c r="E28" s="10" t="n">
        <v>-0.06610000000000001</v>
      </c>
      <c r="F28" s="10" t="n">
        <v>1356</v>
      </c>
      <c r="G28" s="10" t="n">
        <v>0.722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-0.1602</v>
      </c>
      <c r="D29" s="10" t="n">
        <v>2099</v>
      </c>
      <c r="E29" s="10" t="n">
        <v>-0.017</v>
      </c>
      <c r="F29" s="10" t="n">
        <v>2171</v>
      </c>
      <c r="G29" s="10" t="n">
        <v>-0.462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0.1732</v>
      </c>
      <c r="D30" s="10" t="n">
        <v>1615</v>
      </c>
      <c r="E30" s="10" t="n">
        <v>-0.0396</v>
      </c>
      <c r="F30" s="10" t="n">
        <v>1748</v>
      </c>
      <c r="G30" s="10" t="n">
        <v>0.438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0.7675999999999999</v>
      </c>
      <c r="D31" s="10" t="n">
        <v>1197</v>
      </c>
      <c r="E31" s="10" t="n">
        <v>-0.0506</v>
      </c>
      <c r="F31" s="10" t="n">
        <v>1325</v>
      </c>
      <c r="G31" s="10" t="n">
        <v>1.673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-0.0482</v>
      </c>
      <c r="D32" s="10" t="n">
        <v>2098</v>
      </c>
      <c r="E32" s="10" t="n">
        <v>-0.0195</v>
      </c>
      <c r="F32" s="10" t="n">
        <v>2182</v>
      </c>
      <c r="G32" s="10" t="n">
        <v>-0.139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1.1683</v>
      </c>
      <c r="D33" s="10" t="n">
        <v>1615</v>
      </c>
      <c r="E33" s="10" t="n">
        <v>-0.06</v>
      </c>
      <c r="F33" s="10" t="n">
        <v>1821</v>
      </c>
      <c r="G33" s="10" t="n">
        <v>2.958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-0.2909</v>
      </c>
      <c r="D34" s="10" t="n">
        <v>1197</v>
      </c>
      <c r="E34" s="10" t="n">
        <v>-0.0806</v>
      </c>
      <c r="F34" s="10" t="n">
        <v>1407</v>
      </c>
      <c r="G34" s="10" t="n">
        <v>-0.634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0.5629</v>
      </c>
      <c r="D35" s="10" t="n">
        <v>1084</v>
      </c>
      <c r="E35" s="10" t="n">
        <v>-0.0359</v>
      </c>
      <c r="F35" s="10" t="n">
        <v>1165</v>
      </c>
      <c r="G35" s="10" t="n">
        <v>1.167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0.585</v>
      </c>
      <c r="D36" s="10" t="n">
        <v>876</v>
      </c>
      <c r="E36" s="10" t="n">
        <v>-0.0185</v>
      </c>
      <c r="F36" s="10" t="n">
        <v>909</v>
      </c>
      <c r="G36" s="10" t="n">
        <v>1.091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-0.139</v>
      </c>
      <c r="D37" s="10" t="n">
        <v>909</v>
      </c>
      <c r="E37" s="10" t="n">
        <v>-0.0664</v>
      </c>
      <c r="F37" s="10" t="n">
        <v>1038</v>
      </c>
      <c r="G37" s="10" t="n">
        <v>-0.264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-0.4038</v>
      </c>
      <c r="C43" s="7" t="n">
        <v>-0.2215</v>
      </c>
      <c r="D43" s="7" t="n">
        <v>0.1637</v>
      </c>
      <c r="E43" s="7" t="n">
        <v>0.7065</v>
      </c>
      <c r="H43" s="8" t="inlineStr">
        <is>
          <t>Concave Contango</t>
        </is>
      </c>
      <c r="I43" s="9" t="n">
        <v>50.34</v>
      </c>
      <c r="J43" s="10" t="n">
        <v>2599</v>
      </c>
    </row>
    <row r="44">
      <c r="A44" s="6" t="inlineStr">
        <is>
          <t>Momentum: MA(5,60)</t>
        </is>
      </c>
      <c r="B44" s="7" t="n">
        <v>-0.3893</v>
      </c>
      <c r="C44" s="7" t="n">
        <v>0.5504</v>
      </c>
      <c r="D44" s="7" t="n">
        <v>0.2546</v>
      </c>
      <c r="E44" s="7" t="n">
        <v>0.7493</v>
      </c>
      <c r="H44" s="8" t="inlineStr">
        <is>
          <t>Convex Contango</t>
        </is>
      </c>
      <c r="I44" s="9" t="n">
        <v>11.29</v>
      </c>
      <c r="J44" s="10" t="n">
        <v>583</v>
      </c>
    </row>
    <row r="45">
      <c r="A45" s="6" t="inlineStr">
        <is>
          <t>Momentum: MA(20,250)</t>
        </is>
      </c>
      <c r="B45" s="7" t="n">
        <v>-0.2832</v>
      </c>
      <c r="C45" s="7" t="n">
        <v>0.2294</v>
      </c>
      <c r="D45" s="7" t="n">
        <v>0.7127</v>
      </c>
      <c r="E45" s="7" t="n">
        <v>0.8857</v>
      </c>
      <c r="H45" s="8" t="inlineStr">
        <is>
          <t>Convex Backwardation</t>
        </is>
      </c>
      <c r="I45" s="9" t="n">
        <v>20.86</v>
      </c>
      <c r="J45" s="10" t="n">
        <v>1077</v>
      </c>
    </row>
    <row r="46">
      <c r="A46" s="6" t="inlineStr">
        <is>
          <t>Carry: V1 Level</t>
        </is>
      </c>
      <c r="B46" s="7" t="n">
        <v>-0.0418</v>
      </c>
      <c r="C46" s="7" t="n">
        <v>0.0426</v>
      </c>
      <c r="D46" s="7" t="n">
        <v>-0.8127</v>
      </c>
      <c r="E46" s="7" t="n">
        <v>1.2078</v>
      </c>
      <c r="H46" s="8" t="inlineStr">
        <is>
          <t>Concave Backwardation</t>
        </is>
      </c>
      <c r="I46" s="9" t="n">
        <v>17.51</v>
      </c>
      <c r="J46" s="10" t="n">
        <v>904</v>
      </c>
    </row>
    <row r="47">
      <c r="A47" s="6" t="inlineStr">
        <is>
          <t>Carry: V2 Z-score</t>
        </is>
      </c>
      <c r="B47" s="7" t="n">
        <v>-0.0576</v>
      </c>
      <c r="C47" s="7" t="n">
        <v>0.9661999999999999</v>
      </c>
      <c r="D47" s="7" t="n">
        <v>-0.002</v>
      </c>
      <c r="E47" s="7" t="n">
        <v>1.2208</v>
      </c>
    </row>
    <row r="48">
      <c r="A48" s="6" t="inlineStr">
        <is>
          <t>Carry: V3 Carry-Mom</t>
        </is>
      </c>
      <c r="B48" s="7" t="n">
        <v>0.1913</v>
      </c>
      <c r="C48" s="7" t="n">
        <v>0.0838</v>
      </c>
      <c r="D48" s="7" t="n">
        <v>0.4754</v>
      </c>
      <c r="E48" s="7" t="n">
        <v>0.6685</v>
      </c>
    </row>
    <row r="49">
      <c r="A49" s="6" t="inlineStr">
        <is>
          <t>Value: F8 5yr +/-10%</t>
        </is>
      </c>
      <c r="B49" s="7" t="n">
        <v>1.1215</v>
      </c>
      <c r="C49" s="7" t="n">
        <v>0.137</v>
      </c>
      <c r="D49" s="7" t="n">
        <v>-0.3291</v>
      </c>
      <c r="E49" s="7" t="n">
        <v>-2.0559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-0.4038</v>
      </c>
      <c r="D53" s="10" t="n">
        <v>2598</v>
      </c>
      <c r="E53" s="10" t="n">
        <v>-0.0374</v>
      </c>
      <c r="F53" s="10" t="n">
        <v>2800</v>
      </c>
      <c r="G53" s="10" t="n">
        <v>-1.296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-0.2215</v>
      </c>
      <c r="D54" s="10" t="n">
        <v>582</v>
      </c>
      <c r="E54" s="10" t="n">
        <v>0.0557</v>
      </c>
      <c r="F54" s="10" t="n">
        <v>521</v>
      </c>
      <c r="G54" s="10" t="n">
        <v>-0.337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0.1637</v>
      </c>
      <c r="D55" s="10" t="n">
        <v>1077</v>
      </c>
      <c r="E55" s="10" t="n">
        <v>-0.0389</v>
      </c>
      <c r="F55" s="10" t="n">
        <v>1164</v>
      </c>
      <c r="G55" s="10" t="n">
        <v>0.338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0.7065</v>
      </c>
      <c r="D56" s="10" t="n">
        <v>883</v>
      </c>
      <c r="E56" s="10" t="n">
        <v>-0.0191</v>
      </c>
      <c r="F56" s="10" t="n">
        <v>917</v>
      </c>
      <c r="G56" s="10" t="n">
        <v>1.322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-0.3893</v>
      </c>
      <c r="D57" s="10" t="n">
        <v>2599</v>
      </c>
      <c r="E57" s="10" t="n">
        <v>-0.0578</v>
      </c>
      <c r="F57" s="10" t="n">
        <v>2918</v>
      </c>
      <c r="G57" s="10" t="n">
        <v>-1.25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0.5504</v>
      </c>
      <c r="D58" s="10" t="n">
        <v>583</v>
      </c>
      <c r="E58" s="10" t="n">
        <v>-0.0321</v>
      </c>
      <c r="F58" s="10" t="n">
        <v>622</v>
      </c>
      <c r="G58" s="10" t="n">
        <v>0.837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0.2546</v>
      </c>
      <c r="D59" s="10" t="n">
        <v>1076</v>
      </c>
      <c r="E59" s="10" t="n">
        <v>-0.074</v>
      </c>
      <c r="F59" s="10" t="n">
        <v>1248</v>
      </c>
      <c r="G59" s="10" t="n">
        <v>0.526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0.7493</v>
      </c>
      <c r="D60" s="10" t="n">
        <v>844</v>
      </c>
      <c r="E60" s="10" t="n">
        <v>-0.0542</v>
      </c>
      <c r="F60" s="10" t="n">
        <v>941</v>
      </c>
      <c r="G60" s="10" t="n">
        <v>1.371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-0.2832</v>
      </c>
      <c r="D61" s="10" t="n">
        <v>2569</v>
      </c>
      <c r="E61" s="10" t="n">
        <v>-0.0474</v>
      </c>
      <c r="F61" s="10" t="n">
        <v>2825</v>
      </c>
      <c r="G61" s="10" t="n">
        <v>-0.904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0.2294</v>
      </c>
      <c r="D62" s="10" t="n">
        <v>581</v>
      </c>
      <c r="E62" s="10" t="n">
        <v>-0.036</v>
      </c>
      <c r="F62" s="10" t="n">
        <v>624</v>
      </c>
      <c r="G62" s="10" t="n">
        <v>0.348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0.7127</v>
      </c>
      <c r="D63" s="10" t="n">
        <v>1072</v>
      </c>
      <c r="E63" s="10" t="n">
        <v>-0.0241</v>
      </c>
      <c r="F63" s="10" t="n">
        <v>1125</v>
      </c>
      <c r="G63" s="10" t="n">
        <v>1.47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0.8857</v>
      </c>
      <c r="D64" s="10" t="n">
        <v>690</v>
      </c>
      <c r="E64" s="10" t="n">
        <v>-0.0291</v>
      </c>
      <c r="F64" s="10" t="n">
        <v>731</v>
      </c>
      <c r="G64" s="10" t="n">
        <v>1.466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-0.0418</v>
      </c>
      <c r="D65" s="10" t="n">
        <v>2582</v>
      </c>
      <c r="E65" s="10" t="n">
        <v>-0.0672</v>
      </c>
      <c r="F65" s="10" t="n">
        <v>2954</v>
      </c>
      <c r="G65" s="10" t="n">
        <v>-0.134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0.0426</v>
      </c>
      <c r="D66" s="10" t="n">
        <v>569</v>
      </c>
      <c r="E66" s="10" t="n">
        <v>-0.0659</v>
      </c>
      <c r="F66" s="10" t="n">
        <v>649</v>
      </c>
      <c r="G66" s="10" t="n">
        <v>0.064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-0.8127</v>
      </c>
      <c r="D67" s="10" t="n">
        <v>1067</v>
      </c>
      <c r="E67" s="10" t="n">
        <v>-0.0214</v>
      </c>
      <c r="F67" s="10" t="n">
        <v>1114</v>
      </c>
      <c r="G67" s="10" t="n">
        <v>-1.672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1.2078</v>
      </c>
      <c r="D68" s="10" t="n">
        <v>874</v>
      </c>
      <c r="E68" s="10" t="n">
        <v>-0.0462</v>
      </c>
      <c r="F68" s="10" t="n">
        <v>959</v>
      </c>
      <c r="G68" s="10" t="n">
        <v>2.249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-0.0576</v>
      </c>
      <c r="D69" s="10" t="n">
        <v>2568</v>
      </c>
      <c r="E69" s="10" t="n">
        <v>-0.0314</v>
      </c>
      <c r="F69" s="10" t="n">
        <v>2734</v>
      </c>
      <c r="G69" s="10" t="n">
        <v>-0.184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0.9661999999999999</v>
      </c>
      <c r="D70" s="10" t="n">
        <v>580</v>
      </c>
      <c r="E70" s="10" t="n">
        <v>-0.06370000000000001</v>
      </c>
      <c r="F70" s="10" t="n">
        <v>659</v>
      </c>
      <c r="G70" s="10" t="n">
        <v>1.466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-0.002</v>
      </c>
      <c r="D71" s="10" t="n">
        <v>1072</v>
      </c>
      <c r="E71" s="10" t="n">
        <v>-0.0428</v>
      </c>
      <c r="F71" s="10" t="n">
        <v>1168</v>
      </c>
      <c r="G71" s="10" t="n">
        <v>-0.004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1.2208</v>
      </c>
      <c r="D72" s="10" t="n">
        <v>690</v>
      </c>
      <c r="E72" s="10" t="n">
        <v>-0.0327</v>
      </c>
      <c r="F72" s="10" t="n">
        <v>737</v>
      </c>
      <c r="G72" s="10" t="n">
        <v>2.02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0.1913</v>
      </c>
      <c r="D73" s="10" t="n">
        <v>2598</v>
      </c>
      <c r="E73" s="10" t="n">
        <v>-0.0511</v>
      </c>
      <c r="F73" s="10" t="n">
        <v>2878</v>
      </c>
      <c r="G73" s="10" t="n">
        <v>0.614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0.0838</v>
      </c>
      <c r="D74" s="10" t="n">
        <v>583</v>
      </c>
      <c r="E74" s="10" t="n">
        <v>-0.0677</v>
      </c>
      <c r="F74" s="10" t="n">
        <v>668</v>
      </c>
      <c r="G74" s="10" t="n">
        <v>0.127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0.4754</v>
      </c>
      <c r="D75" s="10" t="n">
        <v>1077</v>
      </c>
      <c r="E75" s="10" t="n">
        <v>-0.1104</v>
      </c>
      <c r="F75" s="10" t="n">
        <v>1344</v>
      </c>
      <c r="G75" s="10" t="n">
        <v>0.983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0.6685</v>
      </c>
      <c r="D76" s="10" t="n">
        <v>882</v>
      </c>
      <c r="E76" s="10" t="n">
        <v>-0.0949</v>
      </c>
      <c r="F76" s="10" t="n">
        <v>1067</v>
      </c>
      <c r="G76" s="10" t="n">
        <v>1.251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1.1215</v>
      </c>
      <c r="D77" s="10" t="n">
        <v>1496</v>
      </c>
      <c r="E77" s="10" t="n">
        <v>-0.0565</v>
      </c>
      <c r="F77" s="10" t="n">
        <v>1675</v>
      </c>
      <c r="G77" s="10" t="n">
        <v>2.733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0.137</v>
      </c>
      <c r="D78" s="10" t="n">
        <v>333</v>
      </c>
      <c r="E78" s="10" t="n">
        <v>0.0105</v>
      </c>
      <c r="F78" s="10" t="n">
        <v>326</v>
      </c>
      <c r="G78" s="10" t="n">
        <v>0.158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-0.3291</v>
      </c>
      <c r="D79" s="10" t="n">
        <v>670</v>
      </c>
      <c r="E79" s="10" t="n">
        <v>-0.0602</v>
      </c>
      <c r="F79" s="10" t="n">
        <v>756</v>
      </c>
      <c r="G79" s="10" t="n">
        <v>-0.537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-2.0559</v>
      </c>
      <c r="D80" s="10" t="n">
        <v>363</v>
      </c>
      <c r="E80" s="10" t="n">
        <v>-0.0167</v>
      </c>
      <c r="F80" s="10" t="n">
        <v>375</v>
      </c>
      <c r="G80" s="10" t="n">
        <v>-2.467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Aluminium</t>
        </is>
      </c>
    </row>
    <row r="2">
      <c r="A2" s="2" t="inlineStr">
        <is>
          <t>Ticker: LA  |  LME,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0.1515</v>
      </c>
      <c r="C7" s="7" t="n">
        <v>-0.2715</v>
      </c>
      <c r="D7" s="7" t="n">
        <v>-0.3137</v>
      </c>
      <c r="G7" s="8" t="inlineStr">
        <is>
          <t>Low</t>
        </is>
      </c>
      <c r="H7" s="9" t="n">
        <v>55.49</v>
      </c>
      <c r="I7" s="10" t="n">
        <v>2725</v>
      </c>
    </row>
    <row r="8">
      <c r="A8" s="6" t="inlineStr">
        <is>
          <t>Momentum: MA(5,60)</t>
        </is>
      </c>
      <c r="B8" s="7" t="n">
        <v>0.1748</v>
      </c>
      <c r="C8" s="7" t="n">
        <v>-0.0238</v>
      </c>
      <c r="D8" s="7" t="n">
        <v>0.329</v>
      </c>
      <c r="G8" s="8" t="inlineStr">
        <is>
          <t>Medium</t>
        </is>
      </c>
      <c r="H8" s="9" t="n">
        <v>27.51</v>
      </c>
      <c r="I8" s="10" t="n">
        <v>1351</v>
      </c>
    </row>
    <row r="9">
      <c r="A9" s="6" t="inlineStr">
        <is>
          <t>Momentum: MA(20,250)</t>
        </is>
      </c>
      <c r="B9" s="7" t="n">
        <v>0.1012</v>
      </c>
      <c r="C9" s="7" t="n">
        <v>0.3008</v>
      </c>
      <c r="D9" s="7" t="n">
        <v>0.2107</v>
      </c>
      <c r="G9" s="8" t="inlineStr">
        <is>
          <t>High</t>
        </is>
      </c>
      <c r="H9" s="9" t="n">
        <v>17</v>
      </c>
      <c r="I9" s="10" t="n">
        <v>835</v>
      </c>
    </row>
    <row r="10">
      <c r="A10" s="6" t="inlineStr">
        <is>
          <t>Carry: V1 Level</t>
        </is>
      </c>
      <c r="B10" s="7" t="n">
        <v>-0.0377</v>
      </c>
      <c r="C10" s="7" t="n">
        <v>0.4824</v>
      </c>
      <c r="D10" s="7" t="n">
        <v>0.0415</v>
      </c>
    </row>
    <row r="11">
      <c r="A11" s="6" t="inlineStr">
        <is>
          <t>Carry: V2 Z-score</t>
        </is>
      </c>
      <c r="B11" s="7" t="n">
        <v>0.7421</v>
      </c>
      <c r="C11" s="7" t="n">
        <v>-0.3338</v>
      </c>
      <c r="D11" s="7" t="n">
        <v>0.502</v>
      </c>
    </row>
    <row r="12">
      <c r="A12" s="6" t="inlineStr">
        <is>
          <t>Carry: V3 Carry-Mom</t>
        </is>
      </c>
      <c r="B12" s="7" t="n">
        <v>0.0484</v>
      </c>
      <c r="C12" s="7" t="n">
        <v>-0.4097</v>
      </c>
      <c r="D12" s="7" t="n">
        <v>-0.0328</v>
      </c>
    </row>
    <row r="13">
      <c r="A13" s="6" t="inlineStr">
        <is>
          <t>Value: F8 5yr +/-10%</t>
        </is>
      </c>
      <c r="B13" s="7" t="n">
        <v>0.4531</v>
      </c>
      <c r="C13" s="7" t="n">
        <v>-0.3221</v>
      </c>
      <c r="D13" s="7" t="n">
        <v>0.4893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0.1515</v>
      </c>
      <c r="D17" s="10" t="n">
        <v>2725</v>
      </c>
      <c r="E17" s="10" t="n">
        <v>0.0015</v>
      </c>
      <c r="F17" s="10" t="n">
        <v>2717</v>
      </c>
      <c r="G17" s="10" t="n">
        <v>0.498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-0.2715</v>
      </c>
      <c r="D18" s="10" t="n">
        <v>1351</v>
      </c>
      <c r="E18" s="10" t="n">
        <v>-0.0026</v>
      </c>
      <c r="F18" s="10" t="n">
        <v>1358</v>
      </c>
      <c r="G18" s="10" t="n">
        <v>-0.629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-0.3137</v>
      </c>
      <c r="D19" s="10" t="n">
        <v>835</v>
      </c>
      <c r="E19" s="10" t="n">
        <v>0.0547</v>
      </c>
      <c r="F19" s="10" t="n">
        <v>748</v>
      </c>
      <c r="G19" s="10" t="n">
        <v>-0.571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0.1748</v>
      </c>
      <c r="D20" s="10" t="n">
        <v>2725</v>
      </c>
      <c r="E20" s="10" t="n">
        <v>-0.008</v>
      </c>
      <c r="F20" s="10" t="n">
        <v>2769</v>
      </c>
      <c r="G20" s="10" t="n">
        <v>0.575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-0.0238</v>
      </c>
      <c r="D21" s="10" t="n">
        <v>1351</v>
      </c>
      <c r="E21" s="10" t="n">
        <v>-0.0314</v>
      </c>
      <c r="F21" s="10" t="n">
        <v>1439</v>
      </c>
      <c r="G21" s="10" t="n">
        <v>-0.055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0.329</v>
      </c>
      <c r="D22" s="10" t="n">
        <v>835</v>
      </c>
      <c r="E22" s="10" t="n">
        <v>0.068</v>
      </c>
      <c r="F22" s="10" t="n">
        <v>729</v>
      </c>
      <c r="G22" s="10" t="n">
        <v>0.599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0.1012</v>
      </c>
      <c r="D23" s="10" t="n">
        <v>2622</v>
      </c>
      <c r="E23" s="10" t="n">
        <v>0.0031</v>
      </c>
      <c r="F23" s="10" t="n">
        <v>2606</v>
      </c>
      <c r="G23" s="10" t="n">
        <v>0.326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0.3008</v>
      </c>
      <c r="D24" s="10" t="n">
        <v>1334</v>
      </c>
      <c r="E24" s="10" t="n">
        <v>0.0012</v>
      </c>
      <c r="F24" s="10" t="n">
        <v>1331</v>
      </c>
      <c r="G24" s="10" t="n">
        <v>0.6919999999999999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0.2107</v>
      </c>
      <c r="D25" s="10" t="n">
        <v>835</v>
      </c>
      <c r="E25" s="10" t="n">
        <v>0.0342</v>
      </c>
      <c r="F25" s="10" t="n">
        <v>780</v>
      </c>
      <c r="G25" s="10" t="n">
        <v>0.383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-0.0377</v>
      </c>
      <c r="D26" s="10" t="n">
        <v>2706</v>
      </c>
      <c r="E26" s="10" t="n">
        <v>-0.0147</v>
      </c>
      <c r="F26" s="10" t="n">
        <v>2787</v>
      </c>
      <c r="G26" s="10" t="n">
        <v>-0.123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0.4824</v>
      </c>
      <c r="D27" s="10" t="n">
        <v>1346</v>
      </c>
      <c r="E27" s="10" t="n">
        <v>0.013</v>
      </c>
      <c r="F27" s="10" t="n">
        <v>1311</v>
      </c>
      <c r="G27" s="10" t="n">
        <v>1.115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0.0415</v>
      </c>
      <c r="D28" s="10" t="n">
        <v>831</v>
      </c>
      <c r="E28" s="10" t="n">
        <v>0.0267</v>
      </c>
      <c r="F28" s="10" t="n">
        <v>788</v>
      </c>
      <c r="G28" s="10" t="n">
        <v>0.075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0.7421</v>
      </c>
      <c r="D29" s="10" t="n">
        <v>2725</v>
      </c>
      <c r="E29" s="10" t="n">
        <v>-0.0025</v>
      </c>
      <c r="F29" s="10" t="n">
        <v>2739</v>
      </c>
      <c r="G29" s="10" t="n">
        <v>2.44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-0.3338</v>
      </c>
      <c r="D30" s="10" t="n">
        <v>1351</v>
      </c>
      <c r="E30" s="10" t="n">
        <v>-0.0301</v>
      </c>
      <c r="F30" s="10" t="n">
        <v>1435</v>
      </c>
      <c r="G30" s="10" t="n">
        <v>-0.773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0.502</v>
      </c>
      <c r="D31" s="10" t="n">
        <v>835</v>
      </c>
      <c r="E31" s="10" t="n">
        <v>0.009900000000000001</v>
      </c>
      <c r="F31" s="10" t="n">
        <v>819</v>
      </c>
      <c r="G31" s="10" t="n">
        <v>0.914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0.0484</v>
      </c>
      <c r="D32" s="10" t="n">
        <v>2725</v>
      </c>
      <c r="E32" s="10" t="n">
        <v>-0.0078</v>
      </c>
      <c r="F32" s="10" t="n">
        <v>2768</v>
      </c>
      <c r="G32" s="10" t="n">
        <v>0.159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-0.4097</v>
      </c>
      <c r="D33" s="10" t="n">
        <v>1351</v>
      </c>
      <c r="E33" s="10" t="n">
        <v>0.0018</v>
      </c>
      <c r="F33" s="10" t="n">
        <v>1346</v>
      </c>
      <c r="G33" s="10" t="n">
        <v>-0.949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-0.0328</v>
      </c>
      <c r="D34" s="10" t="n">
        <v>835</v>
      </c>
      <c r="E34" s="10" t="n">
        <v>0.0161</v>
      </c>
      <c r="F34" s="10" t="n">
        <v>809</v>
      </c>
      <c r="G34" s="10" t="n">
        <v>-0.06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0.4531</v>
      </c>
      <c r="D35" s="10" t="n">
        <v>1241</v>
      </c>
      <c r="E35" s="10" t="n">
        <v>0.009900000000000001</v>
      </c>
      <c r="F35" s="10" t="n">
        <v>1217</v>
      </c>
      <c r="G35" s="10" t="n">
        <v>1.006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-0.3221</v>
      </c>
      <c r="D36" s="10" t="n">
        <v>553</v>
      </c>
      <c r="E36" s="10" t="n">
        <v>-0.0663</v>
      </c>
      <c r="F36" s="10" t="n">
        <v>632</v>
      </c>
      <c r="G36" s="10" t="n">
        <v>-0.477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0.4893</v>
      </c>
      <c r="D37" s="10" t="n">
        <v>730</v>
      </c>
      <c r="E37" s="10" t="n">
        <v>0.0337</v>
      </c>
      <c r="F37" s="10" t="n">
        <v>682</v>
      </c>
      <c r="G37" s="10" t="n">
        <v>0.833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0.1327</v>
      </c>
      <c r="C43" s="7" t="n">
        <v>-0.8744</v>
      </c>
      <c r="D43" s="7" t="n">
        <v>0.5477</v>
      </c>
      <c r="E43" s="7" t="n">
        <v>-0.182</v>
      </c>
      <c r="H43" s="8" t="inlineStr">
        <is>
          <t>Concave Contango</t>
        </is>
      </c>
      <c r="I43" s="9" t="n">
        <v>61.05</v>
      </c>
      <c r="J43" s="10" t="n">
        <v>3153</v>
      </c>
    </row>
    <row r="44">
      <c r="A44" s="6" t="inlineStr">
        <is>
          <t>Momentum: MA(5,60)</t>
        </is>
      </c>
      <c r="B44" s="7" t="n">
        <v>0.2452</v>
      </c>
      <c r="C44" s="7" t="n">
        <v>-0.5107</v>
      </c>
      <c r="D44" s="7" t="n">
        <v>0.6244</v>
      </c>
      <c r="E44" s="7" t="n">
        <v>0.9661</v>
      </c>
      <c r="H44" s="8" t="inlineStr">
        <is>
          <t>Convex Contango</t>
        </is>
      </c>
      <c r="I44" s="9" t="n">
        <v>28.64</v>
      </c>
      <c r="J44" s="10" t="n">
        <v>1479</v>
      </c>
    </row>
    <row r="45">
      <c r="A45" s="6" t="inlineStr">
        <is>
          <t>Momentum: MA(20,250)</t>
        </is>
      </c>
      <c r="B45" s="7" t="n">
        <v>0.0029</v>
      </c>
      <c r="C45" s="7" t="n">
        <v>-0.0259</v>
      </c>
      <c r="D45" s="7" t="n">
        <v>2.189</v>
      </c>
      <c r="E45" s="7" t="n">
        <v>0.9458</v>
      </c>
      <c r="H45" s="8" t="inlineStr">
        <is>
          <t>Convex Backwardation</t>
        </is>
      </c>
      <c r="I45" s="9" t="n">
        <v>5.36</v>
      </c>
      <c r="J45" s="10" t="n">
        <v>277</v>
      </c>
    </row>
    <row r="46">
      <c r="A46" s="6" t="inlineStr">
        <is>
          <t>Carry: V1 Level</t>
        </is>
      </c>
      <c r="B46" s="7" t="n">
        <v>0.5829</v>
      </c>
      <c r="C46" s="7" t="n">
        <v>-0.5202</v>
      </c>
      <c r="D46" s="7" t="n">
        <v>0.6113</v>
      </c>
      <c r="E46" s="7" t="n">
        <v>-2.2837</v>
      </c>
      <c r="H46" s="8" t="inlineStr">
        <is>
          <t>Concave Backwardation</t>
        </is>
      </c>
      <c r="I46" s="9" t="n">
        <v>4.96</v>
      </c>
      <c r="J46" s="10" t="n">
        <v>256</v>
      </c>
    </row>
    <row r="47">
      <c r="A47" s="6" t="inlineStr">
        <is>
          <t>Carry: V2 Z-score</t>
        </is>
      </c>
      <c r="B47" s="7" t="n">
        <v>0.4096</v>
      </c>
      <c r="C47" s="7" t="n">
        <v>-0.0424</v>
      </c>
      <c r="D47" s="7" t="n">
        <v>3.2898</v>
      </c>
      <c r="E47" s="7" t="n">
        <v>-1.4591</v>
      </c>
    </row>
    <row r="48">
      <c r="A48" s="6" t="inlineStr">
        <is>
          <t>Carry: V3 Carry-Mom</t>
        </is>
      </c>
      <c r="B48" s="7" t="n">
        <v>0.07539999999999999</v>
      </c>
      <c r="C48" s="7" t="n">
        <v>-0.3919</v>
      </c>
      <c r="D48" s="7" t="n">
        <v>1.8492</v>
      </c>
      <c r="E48" s="7" t="n">
        <v>-0.7547</v>
      </c>
    </row>
    <row r="49">
      <c r="A49" s="6" t="inlineStr">
        <is>
          <t>Value: F8 5yr +/-10%</t>
        </is>
      </c>
      <c r="B49" s="7" t="n">
        <v>0.4574</v>
      </c>
      <c r="C49" s="7" t="n">
        <v>1.392</v>
      </c>
      <c r="D49" s="7" t="n">
        <v>-2.5255</v>
      </c>
      <c r="E49" s="7" t="n">
        <v>-1.2371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0.1327</v>
      </c>
      <c r="D53" s="10" t="n">
        <v>3096</v>
      </c>
      <c r="E53" s="10" t="n">
        <v>-0.0163</v>
      </c>
      <c r="F53" s="10" t="n">
        <v>3199</v>
      </c>
      <c r="G53" s="10" t="n">
        <v>0.465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-0.8744</v>
      </c>
      <c r="D54" s="10" t="n">
        <v>1479</v>
      </c>
      <c r="E54" s="10" t="n">
        <v>0.0374</v>
      </c>
      <c r="F54" s="10" t="n">
        <v>1372</v>
      </c>
      <c r="G54" s="10" t="n">
        <v>-2.118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0.5477</v>
      </c>
      <c r="D55" s="10" t="n">
        <v>277</v>
      </c>
      <c r="E55" s="10" t="n">
        <v>0.0609</v>
      </c>
      <c r="F55" s="10" t="n">
        <v>245</v>
      </c>
      <c r="G55" s="10" t="n">
        <v>0.574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-0.182</v>
      </c>
      <c r="D56" s="10" t="n">
        <v>252</v>
      </c>
      <c r="E56" s="10" t="n">
        <v>0.0487</v>
      </c>
      <c r="F56" s="10" t="n">
        <v>229</v>
      </c>
      <c r="G56" s="10" t="n">
        <v>-0.182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0.2452</v>
      </c>
      <c r="D57" s="10" t="n">
        <v>3001</v>
      </c>
      <c r="E57" s="10" t="n">
        <v>-0.0208</v>
      </c>
      <c r="F57" s="10" t="n">
        <v>3129</v>
      </c>
      <c r="G57" s="10" t="n">
        <v>0.846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-0.5107</v>
      </c>
      <c r="D58" s="10" t="n">
        <v>1479</v>
      </c>
      <c r="E58" s="10" t="n">
        <v>0.0653</v>
      </c>
      <c r="F58" s="10" t="n">
        <v>1298</v>
      </c>
      <c r="G58" s="10" t="n">
        <v>-1.237</v>
      </c>
      <c r="H58" s="10" t="inlineStr">
        <is>
          <t>—</t>
        </is>
      </c>
      <c r="I58" s="10" t="inlineStr"/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0.6244</v>
      </c>
      <c r="D59" s="12" t="n">
        <v>277</v>
      </c>
      <c r="E59" s="12" t="n">
        <v>0.1568</v>
      </c>
      <c r="F59" s="12" t="n">
        <v>202</v>
      </c>
      <c r="G59" s="12" t="n">
        <v>0.655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0.9661</v>
      </c>
      <c r="D60" s="10" t="n">
        <v>238</v>
      </c>
      <c r="E60" s="10" t="n">
        <v>0.0447</v>
      </c>
      <c r="F60" s="10" t="n">
        <v>218</v>
      </c>
      <c r="G60" s="10" t="n">
        <v>0.9389999999999999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0.0029</v>
      </c>
      <c r="D61" s="10" t="n">
        <v>2892</v>
      </c>
      <c r="E61" s="10" t="n">
        <v>-0.0186</v>
      </c>
      <c r="F61" s="10" t="n">
        <v>3002</v>
      </c>
      <c r="G61" s="10" t="n">
        <v>0.01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-0.0259</v>
      </c>
      <c r="D62" s="10" t="n">
        <v>1478</v>
      </c>
      <c r="E62" s="10" t="n">
        <v>0.076</v>
      </c>
      <c r="F62" s="10" t="n">
        <v>1269</v>
      </c>
      <c r="G62" s="10" t="n">
        <v>-0.063</v>
      </c>
      <c r="H62" s="10" t="inlineStr">
        <is>
          <t>—</t>
        </is>
      </c>
      <c r="I62" s="10" t="inlineStr"/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2.189</v>
      </c>
      <c r="D63" s="12" t="n">
        <v>242</v>
      </c>
      <c r="E63" s="12" t="n">
        <v>0.122</v>
      </c>
      <c r="F63" s="12" t="n">
        <v>189</v>
      </c>
      <c r="G63" s="12" t="n">
        <v>2.145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0.9458</v>
      </c>
      <c r="D64" s="10" t="n">
        <v>171</v>
      </c>
      <c r="E64" s="10" t="n">
        <v>0.0459</v>
      </c>
      <c r="F64" s="10" t="n">
        <v>156</v>
      </c>
      <c r="G64" s="10" t="n">
        <v>0.779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0.5829</v>
      </c>
      <c r="D65" s="10" t="n">
        <v>3148</v>
      </c>
      <c r="E65" s="10" t="n">
        <v>-0.0701</v>
      </c>
      <c r="F65" s="10" t="n">
        <v>3623</v>
      </c>
      <c r="G65" s="10" t="n">
        <v>2.06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-0.5202</v>
      </c>
      <c r="D66" s="10" t="n">
        <v>1462</v>
      </c>
      <c r="E66" s="10" t="n">
        <v>0.0788</v>
      </c>
      <c r="F66" s="10" t="n">
        <v>1248</v>
      </c>
      <c r="G66" s="10" t="n">
        <v>-1.253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0.6113</v>
      </c>
      <c r="D67" s="10" t="n">
        <v>277</v>
      </c>
      <c r="E67" s="10" t="n">
        <v>0.0207</v>
      </c>
      <c r="F67" s="10" t="n">
        <v>266</v>
      </c>
      <c r="G67" s="10" t="n">
        <v>0.641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-2.2837</v>
      </c>
      <c r="D68" s="10" t="n">
        <v>247</v>
      </c>
      <c r="E68" s="10" t="n">
        <v>0.0165</v>
      </c>
      <c r="F68" s="10" t="n">
        <v>239</v>
      </c>
      <c r="G68" s="10" t="n">
        <v>-2.261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0.4096</v>
      </c>
      <c r="D69" s="10" t="n">
        <v>2971</v>
      </c>
      <c r="E69" s="10" t="n">
        <v>-0.0351</v>
      </c>
      <c r="F69" s="10" t="n">
        <v>3187</v>
      </c>
      <c r="G69" s="10" t="n">
        <v>1.407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-0.0424</v>
      </c>
      <c r="D70" s="10" t="n">
        <v>1478</v>
      </c>
      <c r="E70" s="10" t="n">
        <v>0.0489</v>
      </c>
      <c r="F70" s="10" t="n">
        <v>1340</v>
      </c>
      <c r="G70" s="10" t="n">
        <v>-0.103</v>
      </c>
      <c r="H70" s="10" t="inlineStr">
        <is>
          <t>—</t>
        </is>
      </c>
      <c r="I70" s="10" t="inlineStr"/>
    </row>
    <row r="71">
      <c r="A71" s="14" t="inlineStr">
        <is>
          <t>Carry: V2 Z-score</t>
        </is>
      </c>
      <c r="B71" s="15" t="inlineStr">
        <is>
          <t>Convex Backwardation</t>
        </is>
      </c>
      <c r="C71" s="16" t="n">
        <v>3.2898</v>
      </c>
      <c r="D71" s="15" t="n">
        <v>272</v>
      </c>
      <c r="E71" s="15" t="n">
        <v>0.0813</v>
      </c>
      <c r="F71" s="15" t="n">
        <v>231</v>
      </c>
      <c r="G71" s="15" t="n">
        <v>3.418</v>
      </c>
      <c r="H71" s="15" t="inlineStr">
        <is>
          <t>SIGNIFICANT</t>
        </is>
      </c>
      <c r="I71" s="15" t="inlineStr">
        <is>
          <t>CAUTION: positive autocorr, effective N materially below nominal N</t>
        </is>
      </c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-1.4591</v>
      </c>
      <c r="D72" s="10" t="n">
        <v>191</v>
      </c>
      <c r="E72" s="10" t="n">
        <v>0.0742</v>
      </c>
      <c r="F72" s="10" t="n">
        <v>165</v>
      </c>
      <c r="G72" s="10" t="n">
        <v>-1.27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0.07539999999999999</v>
      </c>
      <c r="D73" s="10" t="n">
        <v>3135</v>
      </c>
      <c r="E73" s="10" t="n">
        <v>-0.0233</v>
      </c>
      <c r="F73" s="10" t="n">
        <v>3285</v>
      </c>
      <c r="G73" s="10" t="n">
        <v>0.266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-0.3919</v>
      </c>
      <c r="D74" s="10" t="n">
        <v>1479</v>
      </c>
      <c r="E74" s="10" t="n">
        <v>0.06</v>
      </c>
      <c r="F74" s="10" t="n">
        <v>1312</v>
      </c>
      <c r="G74" s="10" t="n">
        <v>-0.949</v>
      </c>
      <c r="H74" s="10" t="inlineStr">
        <is>
          <t>—</t>
        </is>
      </c>
      <c r="I74" s="10" t="inlineStr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1.8492</v>
      </c>
      <c r="D75" s="12" t="n">
        <v>277</v>
      </c>
      <c r="E75" s="12" t="n">
        <v>0.1936</v>
      </c>
      <c r="F75" s="12" t="n">
        <v>187</v>
      </c>
      <c r="G75" s="12" t="n">
        <v>1.939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-0.7547</v>
      </c>
      <c r="D76" s="10" t="n">
        <v>252</v>
      </c>
      <c r="E76" s="10" t="n">
        <v>-0.0992</v>
      </c>
      <c r="F76" s="10" t="n">
        <v>308</v>
      </c>
      <c r="G76" s="10" t="n">
        <v>-0.755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0.4574</v>
      </c>
      <c r="D77" s="10" t="n">
        <v>1444</v>
      </c>
      <c r="E77" s="10" t="n">
        <v>-0.0116</v>
      </c>
      <c r="F77" s="10" t="n">
        <v>1478</v>
      </c>
      <c r="G77" s="10" t="n">
        <v>1.095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1.392</v>
      </c>
      <c r="D78" s="10" t="n">
        <v>738</v>
      </c>
      <c r="E78" s="10" t="n">
        <v>0.008699999999999999</v>
      </c>
      <c r="F78" s="10" t="n">
        <v>725</v>
      </c>
      <c r="G78" s="10" t="n">
        <v>2.382</v>
      </c>
      <c r="H78" s="10" t="inlineStr">
        <is>
          <t>—</t>
        </is>
      </c>
      <c r="I78" s="10" t="inlineStr"/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-2.5255</v>
      </c>
      <c r="D79" s="12" t="n">
        <v>167</v>
      </c>
      <c r="E79" s="12" t="n">
        <v>0.1278</v>
      </c>
      <c r="F79" s="12" t="n">
        <v>129</v>
      </c>
      <c r="G79" s="12" t="n">
        <v>-2.056</v>
      </c>
      <c r="H79" s="12" t="inlineStr">
        <is>
          <t>—</t>
        </is>
      </c>
      <c r="I79" s="12" t="inlineStr">
        <is>
          <t>CAUTION: positive autocorr, effective N materially below nominal N</t>
        </is>
      </c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-1.2371</v>
      </c>
      <c r="D80" s="10" t="n">
        <v>168</v>
      </c>
      <c r="E80" s="10" t="n">
        <v>0.0302</v>
      </c>
      <c r="F80" s="10" t="n">
        <v>158</v>
      </c>
      <c r="G80" s="10" t="n">
        <v>-1.01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Gold</t>
        </is>
      </c>
    </row>
    <row r="2">
      <c r="A2" s="2" t="inlineStr">
        <is>
          <t>Ticker: GC  |  COMEX, Precious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0.0251</v>
      </c>
      <c r="C7" s="7" t="n">
        <v>0.5164</v>
      </c>
      <c r="D7" s="7" t="n">
        <v>-0.0367</v>
      </c>
      <c r="G7" s="8" t="inlineStr">
        <is>
          <t>Low</t>
        </is>
      </c>
      <c r="H7" s="9" t="n">
        <v>30.39</v>
      </c>
      <c r="I7" s="10" t="n">
        <v>1488</v>
      </c>
    </row>
    <row r="8">
      <c r="A8" s="6" t="inlineStr">
        <is>
          <t>Momentum: MA(5,60)</t>
        </is>
      </c>
      <c r="B8" s="7" t="n">
        <v>0.3302</v>
      </c>
      <c r="C8" s="7" t="n">
        <v>0.7107</v>
      </c>
      <c r="D8" s="7" t="n">
        <v>-0.0245</v>
      </c>
      <c r="G8" s="8" t="inlineStr">
        <is>
          <t>Medium</t>
        </is>
      </c>
      <c r="H8" s="9" t="n">
        <v>28.66</v>
      </c>
      <c r="I8" s="10" t="n">
        <v>1403</v>
      </c>
    </row>
    <row r="9">
      <c r="A9" s="6" t="inlineStr">
        <is>
          <t>Momentum: MA(20,250)</t>
        </is>
      </c>
      <c r="B9" s="7" t="n">
        <v>-0.4259</v>
      </c>
      <c r="C9" s="7" t="n">
        <v>0.8345</v>
      </c>
      <c r="D9" s="7" t="n">
        <v>0.0635</v>
      </c>
      <c r="G9" s="8" t="inlineStr">
        <is>
          <t>High</t>
        </is>
      </c>
      <c r="H9" s="9" t="n">
        <v>40.95</v>
      </c>
      <c r="I9" s="10" t="n">
        <v>2005</v>
      </c>
    </row>
    <row r="10">
      <c r="A10" s="6" t="inlineStr">
        <is>
          <t>Carry: V1 Level</t>
        </is>
      </c>
      <c r="B10" s="7" t="n">
        <v>0.4048</v>
      </c>
      <c r="C10" s="7" t="n">
        <v>-1.1779</v>
      </c>
      <c r="D10" s="7" t="n">
        <v>-0.1317</v>
      </c>
    </row>
    <row r="11">
      <c r="A11" s="6" t="inlineStr">
        <is>
          <t>Carry: V2 Z-score</t>
        </is>
      </c>
      <c r="B11" s="7" t="n">
        <v>0.2022</v>
      </c>
      <c r="C11" s="7" t="n">
        <v>1.0253</v>
      </c>
      <c r="D11" s="7" t="n">
        <v>0.1159</v>
      </c>
    </row>
    <row r="12">
      <c r="A12" s="6" t="inlineStr">
        <is>
          <t>Carry: V3 Carry-Mom</t>
        </is>
      </c>
      <c r="B12" s="7" t="n">
        <v>0.6916</v>
      </c>
      <c r="C12" s="7" t="n">
        <v>-0.264</v>
      </c>
      <c r="D12" s="7" t="n">
        <v>0.1485</v>
      </c>
    </row>
    <row r="13">
      <c r="A13" s="6" t="inlineStr">
        <is>
          <t>Value: F8 5yr +/-10%</t>
        </is>
      </c>
      <c r="B13" s="7" t="n">
        <v>0.0693</v>
      </c>
      <c r="C13" s="7" t="n">
        <v>-1.1381</v>
      </c>
      <c r="D13" s="7" t="n">
        <v>-0.0829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0.0251</v>
      </c>
      <c r="D17" s="10" t="n">
        <v>1488</v>
      </c>
      <c r="E17" s="10" t="n">
        <v>0.0157</v>
      </c>
      <c r="F17" s="10" t="n">
        <v>1442</v>
      </c>
      <c r="G17" s="10" t="n">
        <v>0.061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0.5164</v>
      </c>
      <c r="D18" s="10" t="n">
        <v>1403</v>
      </c>
      <c r="E18" s="10" t="n">
        <v>-0.0202</v>
      </c>
      <c r="F18" s="10" t="n">
        <v>1461</v>
      </c>
      <c r="G18" s="10" t="n">
        <v>1.219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-0.0367</v>
      </c>
      <c r="D19" s="10" t="n">
        <v>2005</v>
      </c>
      <c r="E19" s="10" t="n">
        <v>0.0103</v>
      </c>
      <c r="F19" s="10" t="n">
        <v>1964</v>
      </c>
      <c r="G19" s="10" t="n">
        <v>-0.104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0.3302</v>
      </c>
      <c r="D20" s="10" t="n">
        <v>1488</v>
      </c>
      <c r="E20" s="10" t="n">
        <v>-0.0001</v>
      </c>
      <c r="F20" s="10" t="n">
        <v>1488</v>
      </c>
      <c r="G20" s="10" t="n">
        <v>0.802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0.7107</v>
      </c>
      <c r="D21" s="10" t="n">
        <v>1403</v>
      </c>
      <c r="E21" s="10" t="n">
        <v>-0.0295</v>
      </c>
      <c r="F21" s="10" t="n">
        <v>1488</v>
      </c>
      <c r="G21" s="10" t="n">
        <v>1.677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-0.0245</v>
      </c>
      <c r="D22" s="10" t="n">
        <v>2005</v>
      </c>
      <c r="E22" s="10" t="n">
        <v>-0.0273</v>
      </c>
      <c r="F22" s="10" t="n">
        <v>2117</v>
      </c>
      <c r="G22" s="10" t="n">
        <v>-0.06900000000000001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-0.4259</v>
      </c>
      <c r="D23" s="10" t="n">
        <v>1488</v>
      </c>
      <c r="E23" s="10" t="n">
        <v>0.006</v>
      </c>
      <c r="F23" s="10" t="n">
        <v>1470</v>
      </c>
      <c r="G23" s="10" t="n">
        <v>-1.035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0.8345</v>
      </c>
      <c r="D24" s="10" t="n">
        <v>1403</v>
      </c>
      <c r="E24" s="10" t="n">
        <v>-0.0181</v>
      </c>
      <c r="F24" s="10" t="n">
        <v>1455</v>
      </c>
      <c r="G24" s="10" t="n">
        <v>1.969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0.0635</v>
      </c>
      <c r="D25" s="10" t="n">
        <v>2005</v>
      </c>
      <c r="E25" s="10" t="n">
        <v>-0.0299</v>
      </c>
      <c r="F25" s="10" t="n">
        <v>2129</v>
      </c>
      <c r="G25" s="10" t="n">
        <v>0.179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0.4048</v>
      </c>
      <c r="D26" s="10" t="n">
        <v>1461</v>
      </c>
      <c r="E26" s="10" t="n">
        <v>0.0221</v>
      </c>
      <c r="F26" s="10" t="n">
        <v>1398</v>
      </c>
      <c r="G26" s="10" t="n">
        <v>0.975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-1.1779</v>
      </c>
      <c r="D27" s="10" t="n">
        <v>1398</v>
      </c>
      <c r="E27" s="10" t="n">
        <v>-0.0173</v>
      </c>
      <c r="F27" s="10" t="n">
        <v>1447</v>
      </c>
      <c r="G27" s="10" t="n">
        <v>-2.774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-0.1317</v>
      </c>
      <c r="D28" s="10" t="n">
        <v>2000</v>
      </c>
      <c r="E28" s="10" t="n">
        <v>-0.0299</v>
      </c>
      <c r="F28" s="10" t="n">
        <v>2123</v>
      </c>
      <c r="G28" s="10" t="n">
        <v>-0.371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0.2022</v>
      </c>
      <c r="D29" s="10" t="n">
        <v>1488</v>
      </c>
      <c r="E29" s="10" t="n">
        <v>0.0076</v>
      </c>
      <c r="F29" s="10" t="n">
        <v>1465</v>
      </c>
      <c r="G29" s="10" t="n">
        <v>0.491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1.0253</v>
      </c>
      <c r="D30" s="10" t="n">
        <v>1403</v>
      </c>
      <c r="E30" s="10" t="n">
        <v>-0.0277</v>
      </c>
      <c r="F30" s="10" t="n">
        <v>1483</v>
      </c>
      <c r="G30" s="10" t="n">
        <v>2.419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0.1159</v>
      </c>
      <c r="D31" s="10" t="n">
        <v>2005</v>
      </c>
      <c r="E31" s="10" t="n">
        <v>-0.0308</v>
      </c>
      <c r="F31" s="10" t="n">
        <v>2132</v>
      </c>
      <c r="G31" s="10" t="n">
        <v>0.327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0.6916</v>
      </c>
      <c r="D32" s="10" t="n">
        <v>1488</v>
      </c>
      <c r="E32" s="10" t="n">
        <v>0.0103</v>
      </c>
      <c r="F32" s="10" t="n">
        <v>1458</v>
      </c>
      <c r="G32" s="10" t="n">
        <v>1.681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-0.264</v>
      </c>
      <c r="D33" s="10" t="n">
        <v>1403</v>
      </c>
      <c r="E33" s="10" t="n">
        <v>-0.0142</v>
      </c>
      <c r="F33" s="10" t="n">
        <v>1443</v>
      </c>
      <c r="G33" s="10" t="n">
        <v>-0.623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0.1485</v>
      </c>
      <c r="D34" s="10" t="n">
        <v>2005</v>
      </c>
      <c r="E34" s="10" t="n">
        <v>-0.0689</v>
      </c>
      <c r="F34" s="10" t="n">
        <v>2302</v>
      </c>
      <c r="G34" s="10" t="n">
        <v>0.419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0.0693</v>
      </c>
      <c r="D35" s="10" t="n">
        <v>477</v>
      </c>
      <c r="E35" s="10" t="n">
        <v>0.0458</v>
      </c>
      <c r="F35" s="10" t="n">
        <v>435</v>
      </c>
      <c r="G35" s="10" t="n">
        <v>0.095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-1.1381</v>
      </c>
      <c r="D36" s="10" t="n">
        <v>1240</v>
      </c>
      <c r="E36" s="10" t="n">
        <v>-0.0165</v>
      </c>
      <c r="F36" s="10" t="n">
        <v>1282</v>
      </c>
      <c r="G36" s="10" t="n">
        <v>-2.525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-0.0829</v>
      </c>
      <c r="D37" s="10" t="n">
        <v>1685</v>
      </c>
      <c r="E37" s="10" t="n">
        <v>-0.0319</v>
      </c>
      <c r="F37" s="10" t="n">
        <v>1796</v>
      </c>
      <c r="G37" s="10" t="n">
        <v>-0.214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0.313</v>
      </c>
      <c r="C43" s="7" t="n">
        <v>-0.1466</v>
      </c>
      <c r="D43" s="7" t="n"/>
      <c r="E43" s="7" t="n"/>
      <c r="H43" s="8" t="inlineStr">
        <is>
          <t>Concave Contango</t>
        </is>
      </c>
      <c r="I43" s="9" t="n">
        <v>44.36</v>
      </c>
      <c r="J43" s="10" t="n">
        <v>2290</v>
      </c>
    </row>
    <row r="44">
      <c r="A44" s="6" t="inlineStr">
        <is>
          <t>Momentum: MA(5,60)</t>
        </is>
      </c>
      <c r="B44" s="7" t="n">
        <v>-0.0302</v>
      </c>
      <c r="C44" s="7" t="n">
        <v>0.1851</v>
      </c>
      <c r="D44" s="7" t="n"/>
      <c r="E44" s="7" t="n"/>
      <c r="H44" s="8" t="inlineStr">
        <is>
          <t>Convex Contango</t>
        </is>
      </c>
      <c r="I44" s="9" t="n">
        <v>55.58</v>
      </c>
      <c r="J44" s="10" t="n">
        <v>2869</v>
      </c>
    </row>
    <row r="45">
      <c r="A45" s="6" t="inlineStr">
        <is>
          <t>Momentum: MA(20,250)</t>
        </is>
      </c>
      <c r="B45" s="7" t="n">
        <v>0.4047</v>
      </c>
      <c r="C45" s="7" t="n">
        <v>-0.0796</v>
      </c>
      <c r="D45" s="7" t="n"/>
      <c r="E45" s="7" t="n"/>
      <c r="H45" s="8" t="inlineStr">
        <is>
          <t>Convex Backwardation</t>
        </is>
      </c>
      <c r="I45" s="9" t="n">
        <v>0.06</v>
      </c>
      <c r="J45" s="10" t="n">
        <v>3</v>
      </c>
    </row>
    <row r="46">
      <c r="A46" s="6" t="inlineStr">
        <is>
          <t>Carry: V1 Level</t>
        </is>
      </c>
      <c r="B46" s="7" t="n">
        <v>-0.436</v>
      </c>
      <c r="C46" s="7" t="n">
        <v>-0.0658</v>
      </c>
      <c r="D46" s="7" t="n"/>
      <c r="E46" s="7" t="n"/>
      <c r="H46" s="8" t="inlineStr">
        <is>
          <t>Concave Backwardation</t>
        </is>
      </c>
      <c r="I46" s="9" t="n">
        <v>0</v>
      </c>
      <c r="J46" s="10" t="n">
        <v>0</v>
      </c>
    </row>
    <row r="47">
      <c r="A47" s="6" t="inlineStr">
        <is>
          <t>Carry: V2 Z-score</t>
        </is>
      </c>
      <c r="B47" s="7" t="n">
        <v>0.2066</v>
      </c>
      <c r="C47" s="7" t="n">
        <v>0.2886</v>
      </c>
      <c r="D47" s="7" t="n"/>
      <c r="E47" s="7" t="n"/>
    </row>
    <row r="48">
      <c r="A48" s="6" t="inlineStr">
        <is>
          <t>Carry: V3 Carry-Mom</t>
        </is>
      </c>
      <c r="B48" s="7" t="n">
        <v>-0.0197</v>
      </c>
      <c r="C48" s="7" t="n">
        <v>0.2307</v>
      </c>
      <c r="D48" s="7" t="n"/>
      <c r="E48" s="7" t="n"/>
    </row>
    <row r="49">
      <c r="A49" s="6" t="inlineStr">
        <is>
          <t>Value: F8 5yr +/-10%</t>
        </is>
      </c>
      <c r="B49" s="7" t="n">
        <v>-0.4907</v>
      </c>
      <c r="C49" s="7" t="n">
        <v>-0.0586</v>
      </c>
      <c r="D49" s="7" t="n"/>
      <c r="E49" s="7" t="n"/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0.313</v>
      </c>
      <c r="D53" s="10" t="n">
        <v>2281</v>
      </c>
      <c r="E53" s="10" t="n">
        <v>0.0232</v>
      </c>
      <c r="F53" s="10" t="n">
        <v>2178</v>
      </c>
      <c r="G53" s="10" t="n">
        <v>0.9419999999999999</v>
      </c>
      <c r="H53" s="10" t="inlineStr">
        <is>
          <t>—</t>
        </is>
      </c>
      <c r="I53" s="10" t="inlineStr"/>
    </row>
    <row r="54">
      <c r="A54" s="11" t="inlineStr">
        <is>
          <t>Momentum: MA(1,20)</t>
        </is>
      </c>
      <c r="B54" s="12" t="inlineStr">
        <is>
          <t>Convex Contango</t>
        </is>
      </c>
      <c r="C54" s="13" t="n">
        <v>-0.1466</v>
      </c>
      <c r="D54" s="12" t="n">
        <v>2857</v>
      </c>
      <c r="E54" s="12" t="n">
        <v>0.13</v>
      </c>
      <c r="F54" s="12" t="n">
        <v>2200</v>
      </c>
      <c r="G54" s="12" t="n">
        <v>-0.494</v>
      </c>
      <c r="H54" s="12" t="inlineStr">
        <is>
          <t>—</t>
        </is>
      </c>
      <c r="I54" s="12" t="inlineStr">
        <is>
          <t>CAUTION: positive autocorr, effective N materially below nominal N</t>
        </is>
      </c>
    </row>
    <row r="55">
      <c r="A55" s="6" t="inlineStr">
        <is>
          <t>Momentum: MA(1,20)</t>
        </is>
      </c>
      <c r="B55" s="10" t="inlineStr">
        <is>
          <t>Convex Backwardation</t>
        </is>
      </c>
      <c r="C55" s="10" t="n"/>
      <c r="D55" s="10" t="n">
        <v>3</v>
      </c>
      <c r="E55" s="10" t="n"/>
      <c r="F55" s="10" t="n"/>
      <c r="G55" s="10" t="n"/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10" t="n"/>
      <c r="D56" s="10" t="n">
        <v>0</v>
      </c>
      <c r="E56" s="10" t="n"/>
      <c r="F56" s="10" t="n"/>
      <c r="G56" s="10" t="n"/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-0.0302</v>
      </c>
      <c r="D57" s="10" t="n">
        <v>2264</v>
      </c>
      <c r="E57" s="10" t="n">
        <v>0.0356</v>
      </c>
      <c r="F57" s="10" t="n">
        <v>2108</v>
      </c>
      <c r="G57" s="10" t="n">
        <v>-0.091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0.1851</v>
      </c>
      <c r="D58" s="10" t="n">
        <v>2834</v>
      </c>
      <c r="E58" s="10" t="n">
        <v>-0.0881</v>
      </c>
      <c r="F58" s="10" t="n">
        <v>3381</v>
      </c>
      <c r="G58" s="10" t="n">
        <v>0.621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10" t="n"/>
      <c r="D59" s="10" t="n">
        <v>3</v>
      </c>
      <c r="E59" s="10" t="n"/>
      <c r="F59" s="10" t="n"/>
      <c r="G59" s="10" t="n"/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10" t="n"/>
      <c r="D60" s="10" t="n">
        <v>0</v>
      </c>
      <c r="E60" s="10" t="n"/>
      <c r="F60" s="10" t="n"/>
      <c r="G60" s="10" t="n"/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0.4047</v>
      </c>
      <c r="D61" s="10" t="n">
        <v>2179</v>
      </c>
      <c r="E61" s="10" t="n">
        <v>0.0335</v>
      </c>
      <c r="F61" s="10" t="n">
        <v>2038</v>
      </c>
      <c r="G61" s="10" t="n">
        <v>1.19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-0.0796</v>
      </c>
      <c r="D62" s="10" t="n">
        <v>2729</v>
      </c>
      <c r="E62" s="10" t="n">
        <v>-0.07630000000000001</v>
      </c>
      <c r="F62" s="10" t="n">
        <v>3180</v>
      </c>
      <c r="G62" s="10" t="n">
        <v>-0.262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10" t="n"/>
      <c r="D63" s="10" t="n">
        <v>3</v>
      </c>
      <c r="E63" s="10" t="n"/>
      <c r="F63" s="10" t="n"/>
      <c r="G63" s="10" t="n"/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10" t="n"/>
      <c r="D64" s="10" t="n">
        <v>0</v>
      </c>
      <c r="E64" s="10" t="n"/>
      <c r="F64" s="10" t="n"/>
      <c r="G64" s="10" t="n"/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-0.436</v>
      </c>
      <c r="D65" s="10" t="n">
        <v>2288</v>
      </c>
      <c r="E65" s="10" t="n">
        <v>0.0311</v>
      </c>
      <c r="F65" s="10" t="n">
        <v>2150</v>
      </c>
      <c r="G65" s="10" t="n">
        <v>-1.314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-0.0658</v>
      </c>
      <c r="D66" s="10" t="n">
        <v>2832</v>
      </c>
      <c r="E66" s="10" t="n">
        <v>-0.073</v>
      </c>
      <c r="F66" s="10" t="n">
        <v>3278</v>
      </c>
      <c r="G66" s="10" t="n">
        <v>-0.221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10" t="n"/>
      <c r="D67" s="10" t="n">
        <v>3</v>
      </c>
      <c r="E67" s="10" t="n"/>
      <c r="F67" s="10" t="n"/>
      <c r="G67" s="10" t="n"/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10" t="n"/>
      <c r="D68" s="10" t="n">
        <v>0</v>
      </c>
      <c r="E68" s="10" t="n"/>
      <c r="F68" s="10" t="n"/>
      <c r="G68" s="10" t="n"/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0.2066</v>
      </c>
      <c r="D69" s="10" t="n">
        <v>2177</v>
      </c>
      <c r="E69" s="10" t="n">
        <v>0.0263</v>
      </c>
      <c r="F69" s="10" t="n">
        <v>2066</v>
      </c>
      <c r="G69" s="10" t="n">
        <v>0.607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0.2886</v>
      </c>
      <c r="D70" s="10" t="n">
        <v>2729</v>
      </c>
      <c r="E70" s="10" t="n">
        <v>-0.0886</v>
      </c>
      <c r="F70" s="10" t="n">
        <v>3260</v>
      </c>
      <c r="G70" s="10" t="n">
        <v>0.95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10" t="n"/>
      <c r="D71" s="10" t="n">
        <v>3</v>
      </c>
      <c r="E71" s="10" t="n"/>
      <c r="F71" s="10" t="n"/>
      <c r="G71" s="10" t="n"/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10" t="n"/>
      <c r="D72" s="10" t="n">
        <v>0</v>
      </c>
      <c r="E72" s="10" t="n"/>
      <c r="F72" s="10" t="n"/>
      <c r="G72" s="10" t="n"/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-0.0197</v>
      </c>
      <c r="D73" s="10" t="n">
        <v>2281</v>
      </c>
      <c r="E73" s="10" t="n">
        <v>0.0232</v>
      </c>
      <c r="F73" s="10" t="n">
        <v>2178</v>
      </c>
      <c r="G73" s="10" t="n">
        <v>-0.059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0.2307</v>
      </c>
      <c r="D74" s="10" t="n">
        <v>2856</v>
      </c>
      <c r="E74" s="10" t="n">
        <v>-0.0242</v>
      </c>
      <c r="F74" s="10" t="n">
        <v>2998</v>
      </c>
      <c r="G74" s="10" t="n">
        <v>0.777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10" t="n"/>
      <c r="D75" s="10" t="n">
        <v>3</v>
      </c>
      <c r="E75" s="10" t="n"/>
      <c r="F75" s="10" t="n"/>
      <c r="G75" s="10" t="n"/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10" t="n"/>
      <c r="D76" s="10" t="n">
        <v>0</v>
      </c>
      <c r="E76" s="10" t="n"/>
      <c r="F76" s="10" t="n"/>
      <c r="G76" s="10" t="n"/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-0.4907</v>
      </c>
      <c r="D77" s="10" t="n">
        <v>1629</v>
      </c>
      <c r="E77" s="10" t="n">
        <v>0.0267</v>
      </c>
      <c r="F77" s="10" t="n">
        <v>1544</v>
      </c>
      <c r="G77" s="10" t="n">
        <v>-1.247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-0.0586</v>
      </c>
      <c r="D78" s="10" t="n">
        <v>1770</v>
      </c>
      <c r="E78" s="10" t="n">
        <v>-0.0746</v>
      </c>
      <c r="F78" s="10" t="n">
        <v>2055</v>
      </c>
      <c r="G78" s="10" t="n">
        <v>-0.155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10" t="n"/>
      <c r="D79" s="10" t="n">
        <v>3</v>
      </c>
      <c r="E79" s="10" t="n"/>
      <c r="F79" s="10" t="n"/>
      <c r="G79" s="10" t="n"/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10" t="n"/>
      <c r="D80" s="10" t="n">
        <v>0</v>
      </c>
      <c r="E80" s="10" t="n"/>
      <c r="F80" s="10" t="n"/>
      <c r="G80" s="10" t="n"/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Silver</t>
        </is>
      </c>
    </row>
    <row r="2">
      <c r="A2" s="2" t="inlineStr">
        <is>
          <t>Ticker: SI  |  COMEX, Precious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0.2737</v>
      </c>
      <c r="C7" s="7" t="n">
        <v>0.09660000000000001</v>
      </c>
      <c r="D7" s="7" t="n">
        <v>0.0368</v>
      </c>
      <c r="G7" s="8" t="inlineStr">
        <is>
          <t>Low</t>
        </is>
      </c>
      <c r="H7" s="9" t="n">
        <v>33.15</v>
      </c>
      <c r="I7" s="10" t="n">
        <v>1623</v>
      </c>
    </row>
    <row r="8">
      <c r="A8" s="6" t="inlineStr">
        <is>
          <t>Momentum: MA(5,60)</t>
        </is>
      </c>
      <c r="B8" s="7" t="n">
        <v>-0.2514</v>
      </c>
      <c r="C8" s="7" t="n">
        <v>0.344</v>
      </c>
      <c r="D8" s="7" t="n">
        <v>-0.0416</v>
      </c>
      <c r="G8" s="8" t="inlineStr">
        <is>
          <t>Medium</t>
        </is>
      </c>
      <c r="H8" s="9" t="n">
        <v>35.05</v>
      </c>
      <c r="I8" s="10" t="n">
        <v>1716</v>
      </c>
    </row>
    <row r="9">
      <c r="A9" s="6" t="inlineStr">
        <is>
          <t>Momentum: MA(20,250)</t>
        </is>
      </c>
      <c r="B9" s="7" t="n">
        <v>0.2164</v>
      </c>
      <c r="C9" s="7" t="n">
        <v>0.0737</v>
      </c>
      <c r="D9" s="7" t="n">
        <v>-0.0225</v>
      </c>
      <c r="G9" s="8" t="inlineStr">
        <is>
          <t>High</t>
        </is>
      </c>
      <c r="H9" s="9" t="n">
        <v>31.8</v>
      </c>
      <c r="I9" s="10" t="n">
        <v>1557</v>
      </c>
    </row>
    <row r="10">
      <c r="A10" s="6" t="inlineStr">
        <is>
          <t>Carry: V1 Level</t>
        </is>
      </c>
      <c r="B10" s="7" t="n">
        <v>0.0031</v>
      </c>
      <c r="C10" s="7" t="n">
        <v>-0.4379</v>
      </c>
      <c r="D10" s="7" t="n">
        <v>0.0423</v>
      </c>
    </row>
    <row r="11">
      <c r="A11" s="6" t="inlineStr">
        <is>
          <t>Carry: V2 Z-score</t>
        </is>
      </c>
      <c r="B11" s="7" t="n">
        <v>-0.1842</v>
      </c>
      <c r="C11" s="7" t="n">
        <v>0.5891999999999999</v>
      </c>
      <c r="D11" s="7" t="n">
        <v>-0.0141</v>
      </c>
    </row>
    <row r="12">
      <c r="A12" s="6" t="inlineStr">
        <is>
          <t>Carry: V3 Carry-Mom</t>
        </is>
      </c>
      <c r="B12" s="7" t="n">
        <v>0.5358000000000001</v>
      </c>
      <c r="C12" s="7" t="n">
        <v>0.0146</v>
      </c>
      <c r="D12" s="7" t="n">
        <v>0.4275</v>
      </c>
    </row>
    <row r="13">
      <c r="A13" s="6" t="inlineStr">
        <is>
          <t>Value: F8 5yr +/-10%</t>
        </is>
      </c>
      <c r="B13" s="7" t="n">
        <v>-0.0315</v>
      </c>
      <c r="C13" s="7" t="n">
        <v>-0.2331</v>
      </c>
      <c r="D13" s="7" t="n">
        <v>-0.0027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0.2737</v>
      </c>
      <c r="D17" s="10" t="n">
        <v>1623</v>
      </c>
      <c r="E17" s="10" t="n">
        <v>-0.0348</v>
      </c>
      <c r="F17" s="10" t="n">
        <v>1740</v>
      </c>
      <c r="G17" s="10" t="n">
        <v>0.695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0.09660000000000001</v>
      </c>
      <c r="D18" s="10" t="n">
        <v>1716</v>
      </c>
      <c r="E18" s="10" t="n">
        <v>0.0112</v>
      </c>
      <c r="F18" s="10" t="n">
        <v>1678</v>
      </c>
      <c r="G18" s="10" t="n">
        <v>0.252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0.0368</v>
      </c>
      <c r="D19" s="10" t="n">
        <v>1557</v>
      </c>
      <c r="E19" s="10" t="n">
        <v>-0.0832</v>
      </c>
      <c r="F19" s="10" t="n">
        <v>1840</v>
      </c>
      <c r="G19" s="10" t="n">
        <v>0.091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-0.2514</v>
      </c>
      <c r="D20" s="10" t="n">
        <v>1623</v>
      </c>
      <c r="E20" s="10" t="n">
        <v>-0.0471</v>
      </c>
      <c r="F20" s="10" t="n">
        <v>1783</v>
      </c>
      <c r="G20" s="10" t="n">
        <v>-0.638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0.344</v>
      </c>
      <c r="D21" s="10" t="n">
        <v>1716</v>
      </c>
      <c r="E21" s="10" t="n">
        <v>-0.0034</v>
      </c>
      <c r="F21" s="10" t="n">
        <v>1728</v>
      </c>
      <c r="G21" s="10" t="n">
        <v>0.898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-0.0416</v>
      </c>
      <c r="D22" s="10" t="n">
        <v>1557</v>
      </c>
      <c r="E22" s="10" t="n">
        <v>-0.095</v>
      </c>
      <c r="F22" s="10" t="n">
        <v>1884</v>
      </c>
      <c r="G22" s="10" t="n">
        <v>-0.103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0.2164</v>
      </c>
      <c r="D23" s="10" t="n">
        <v>1623</v>
      </c>
      <c r="E23" s="10" t="n">
        <v>-0.0323</v>
      </c>
      <c r="F23" s="10" t="n">
        <v>1731</v>
      </c>
      <c r="G23" s="10" t="n">
        <v>0.549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0.0737</v>
      </c>
      <c r="D24" s="10" t="n">
        <v>1716</v>
      </c>
      <c r="E24" s="10" t="n">
        <v>0.0155</v>
      </c>
      <c r="F24" s="10" t="n">
        <v>1664</v>
      </c>
      <c r="G24" s="10" t="n">
        <v>0.192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-0.0225</v>
      </c>
      <c r="D25" s="10" t="n">
        <v>1557</v>
      </c>
      <c r="E25" s="10" t="n">
        <v>-0.0853</v>
      </c>
      <c r="F25" s="10" t="n">
        <v>1847</v>
      </c>
      <c r="G25" s="10" t="n">
        <v>-0.056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0.0031</v>
      </c>
      <c r="D26" s="10" t="n">
        <v>1622</v>
      </c>
      <c r="E26" s="10" t="n">
        <v>-0.0312</v>
      </c>
      <c r="F26" s="10" t="n">
        <v>1727</v>
      </c>
      <c r="G26" s="10" t="n">
        <v>0.008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-0.4379</v>
      </c>
      <c r="D27" s="10" t="n">
        <v>1712</v>
      </c>
      <c r="E27" s="10" t="n">
        <v>0.0025</v>
      </c>
      <c r="F27" s="10" t="n">
        <v>1703</v>
      </c>
      <c r="G27" s="10" t="n">
        <v>-1.141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0.0423</v>
      </c>
      <c r="D28" s="10" t="n">
        <v>1557</v>
      </c>
      <c r="E28" s="10" t="n">
        <v>-0.0844</v>
      </c>
      <c r="F28" s="10" t="n">
        <v>1844</v>
      </c>
      <c r="G28" s="10" t="n">
        <v>0.105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-0.1842</v>
      </c>
      <c r="D29" s="10" t="n">
        <v>1623</v>
      </c>
      <c r="E29" s="10" t="n">
        <v>-0.0391</v>
      </c>
      <c r="F29" s="10" t="n">
        <v>1755</v>
      </c>
      <c r="G29" s="10" t="n">
        <v>-0.468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0.5891999999999999</v>
      </c>
      <c r="D30" s="10" t="n">
        <v>1716</v>
      </c>
      <c r="E30" s="10" t="n">
        <v>0.0147</v>
      </c>
      <c r="F30" s="10" t="n">
        <v>1666</v>
      </c>
      <c r="G30" s="10" t="n">
        <v>1.538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-0.0141</v>
      </c>
      <c r="D31" s="10" t="n">
        <v>1557</v>
      </c>
      <c r="E31" s="10" t="n">
        <v>-0.08459999999999999</v>
      </c>
      <c r="F31" s="10" t="n">
        <v>1845</v>
      </c>
      <c r="G31" s="10" t="n">
        <v>-0.035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0.5358000000000001</v>
      </c>
      <c r="D32" s="10" t="n">
        <v>1623</v>
      </c>
      <c r="E32" s="10" t="n">
        <v>0.0126</v>
      </c>
      <c r="F32" s="10" t="n">
        <v>1583</v>
      </c>
      <c r="G32" s="10" t="n">
        <v>1.36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0.0146</v>
      </c>
      <c r="D33" s="10" t="n">
        <v>1716</v>
      </c>
      <c r="E33" s="10" t="n">
        <v>0.0187</v>
      </c>
      <c r="F33" s="10" t="n">
        <v>1653</v>
      </c>
      <c r="G33" s="10" t="n">
        <v>0.038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0.4275</v>
      </c>
      <c r="D34" s="10" t="n">
        <v>1557</v>
      </c>
      <c r="E34" s="10" t="n">
        <v>-0.0727</v>
      </c>
      <c r="F34" s="10" t="n">
        <v>1801</v>
      </c>
      <c r="G34" s="10" t="n">
        <v>1.063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-0.0315</v>
      </c>
      <c r="D35" s="10" t="n">
        <v>1090</v>
      </c>
      <c r="E35" s="10" t="n">
        <v>-0.0307</v>
      </c>
      <c r="F35" s="10" t="n">
        <v>1159</v>
      </c>
      <c r="G35" s="10" t="n">
        <v>-0.066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-0.2331</v>
      </c>
      <c r="D36" s="10" t="n">
        <v>1206</v>
      </c>
      <c r="E36" s="10" t="n">
        <v>0.0024</v>
      </c>
      <c r="F36" s="10" t="n">
        <v>1200</v>
      </c>
      <c r="G36" s="10" t="n">
        <v>-0.51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-0.0027</v>
      </c>
      <c r="D37" s="10" t="n">
        <v>1334</v>
      </c>
      <c r="E37" s="10" t="n">
        <v>-0.08699999999999999</v>
      </c>
      <c r="F37" s="10" t="n">
        <v>1588</v>
      </c>
      <c r="G37" s="10" t="n">
        <v>-0.006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0.1908</v>
      </c>
      <c r="C43" s="7" t="n">
        <v>-0.1478</v>
      </c>
      <c r="D43" s="7" t="n"/>
      <c r="E43" s="7" t="n">
        <v>-0.103</v>
      </c>
      <c r="H43" s="8" t="inlineStr">
        <is>
          <t>Concave Contango</t>
        </is>
      </c>
      <c r="I43" s="9" t="n">
        <v>58.87</v>
      </c>
      <c r="J43" s="10" t="n">
        <v>3039</v>
      </c>
    </row>
    <row r="44">
      <c r="A44" s="6" t="inlineStr">
        <is>
          <t>Momentum: MA(5,60)</t>
        </is>
      </c>
      <c r="B44" s="7" t="n">
        <v>0.1631</v>
      </c>
      <c r="C44" s="7" t="n">
        <v>-0.349</v>
      </c>
      <c r="D44" s="7" t="n"/>
      <c r="E44" s="7" t="n">
        <v>-0.3744</v>
      </c>
      <c r="H44" s="8" t="inlineStr">
        <is>
          <t>Convex Contango</t>
        </is>
      </c>
      <c r="I44" s="9" t="n">
        <v>40.04</v>
      </c>
      <c r="J44" s="10" t="n">
        <v>2067</v>
      </c>
    </row>
    <row r="45">
      <c r="A45" s="6" t="inlineStr">
        <is>
          <t>Momentum: MA(20,250)</t>
        </is>
      </c>
      <c r="B45" s="7" t="n">
        <v>0.3104</v>
      </c>
      <c r="C45" s="7" t="n">
        <v>-0.4636</v>
      </c>
      <c r="D45" s="7" t="n"/>
      <c r="E45" s="7" t="n">
        <v>-2.3268</v>
      </c>
      <c r="H45" s="8" t="inlineStr">
        <is>
          <t>Convex Backwardation</t>
        </is>
      </c>
      <c r="I45" s="9" t="n">
        <v>0.02</v>
      </c>
      <c r="J45" s="10" t="n">
        <v>1</v>
      </c>
    </row>
    <row r="46">
      <c r="A46" s="6" t="inlineStr">
        <is>
          <t>Carry: V1 Level</t>
        </is>
      </c>
      <c r="B46" s="7" t="n">
        <v>-0.3546</v>
      </c>
      <c r="C46" s="7" t="n">
        <v>0.4676</v>
      </c>
      <c r="D46" s="7" t="n"/>
      <c r="E46" s="7" t="n">
        <v>2.4677</v>
      </c>
      <c r="H46" s="8" t="inlineStr">
        <is>
          <t>Concave Backwardation</t>
        </is>
      </c>
      <c r="I46" s="9" t="n">
        <v>1.07</v>
      </c>
      <c r="J46" s="10" t="n">
        <v>55</v>
      </c>
    </row>
    <row r="47">
      <c r="A47" s="6" t="inlineStr">
        <is>
          <t>Carry: V2 Z-score</t>
        </is>
      </c>
      <c r="B47" s="7" t="n">
        <v>0.2117</v>
      </c>
      <c r="C47" s="7" t="n">
        <v>-0.1226</v>
      </c>
      <c r="D47" s="7" t="n"/>
      <c r="E47" s="7" t="n">
        <v>-2.3268</v>
      </c>
    </row>
    <row r="48">
      <c r="A48" s="6" t="inlineStr">
        <is>
          <t>Carry: V3 Carry-Mom</t>
        </is>
      </c>
      <c r="B48" s="7" t="n">
        <v>0.2551</v>
      </c>
      <c r="C48" s="7" t="n">
        <v>0.3072</v>
      </c>
      <c r="D48" s="7" t="n"/>
      <c r="E48" s="7" t="n">
        <v>-1.3747</v>
      </c>
    </row>
    <row r="49">
      <c r="A49" s="6" t="inlineStr">
        <is>
          <t>Value: F8 5yr +/-10%</t>
        </is>
      </c>
      <c r="B49" s="7" t="n">
        <v>-0.4272</v>
      </c>
      <c r="C49" s="7" t="n">
        <v>0.6563</v>
      </c>
      <c r="D49" s="7" t="n"/>
      <c r="E49" s="7" t="n">
        <v>2.318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0.1908</v>
      </c>
      <c r="D53" s="10" t="n">
        <v>3022</v>
      </c>
      <c r="E53" s="10" t="n">
        <v>-0.0665</v>
      </c>
      <c r="F53" s="10" t="n">
        <v>3453</v>
      </c>
      <c r="G53" s="10" t="n">
        <v>0.661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-0.1478</v>
      </c>
      <c r="D54" s="10" t="n">
        <v>2063</v>
      </c>
      <c r="E54" s="10" t="n">
        <v>-0.113</v>
      </c>
      <c r="F54" s="10" t="n">
        <v>2589</v>
      </c>
      <c r="G54" s="10" t="n">
        <v>-0.423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10" t="n"/>
      <c r="D55" s="10" t="n">
        <v>1</v>
      </c>
      <c r="E55" s="10" t="n"/>
      <c r="F55" s="10" t="n"/>
      <c r="G55" s="10" t="n"/>
      <c r="H55" s="10" t="inlineStr">
        <is>
          <t>—</t>
        </is>
      </c>
      <c r="I55" s="10" t="inlineStr"/>
    </row>
    <row r="56">
      <c r="A56" s="11" t="inlineStr">
        <is>
          <t>Momentum: MA(1,20)</t>
        </is>
      </c>
      <c r="B56" s="12" t="inlineStr">
        <is>
          <t>Concave Backwardation</t>
        </is>
      </c>
      <c r="C56" s="13" t="n">
        <v>-0.103</v>
      </c>
      <c r="D56" s="12" t="n">
        <v>55</v>
      </c>
      <c r="E56" s="12" t="n">
        <v>0.1325</v>
      </c>
      <c r="F56" s="12" t="n">
        <v>42</v>
      </c>
      <c r="G56" s="12" t="n">
        <v>-0.048</v>
      </c>
      <c r="H56" s="12" t="inlineStr">
        <is>
          <t>—</t>
        </is>
      </c>
      <c r="I56" s="12" t="inlineStr">
        <is>
          <t>CAUTION: positive autocorr, effective N materially below nominal N</t>
        </is>
      </c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0.1631</v>
      </c>
      <c r="D57" s="10" t="n">
        <v>2982</v>
      </c>
      <c r="E57" s="10" t="n">
        <v>-0.0806</v>
      </c>
      <c r="F57" s="10" t="n">
        <v>3505</v>
      </c>
      <c r="G57" s="10" t="n">
        <v>0.5610000000000001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-0.349</v>
      </c>
      <c r="D58" s="10" t="n">
        <v>2063</v>
      </c>
      <c r="E58" s="10" t="n">
        <v>-0.0794</v>
      </c>
      <c r="F58" s="10" t="n">
        <v>2419</v>
      </c>
      <c r="G58" s="10" t="n">
        <v>-0.998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10" t="n"/>
      <c r="D59" s="10" t="n">
        <v>1</v>
      </c>
      <c r="E59" s="10" t="n"/>
      <c r="F59" s="10" t="n"/>
      <c r="G59" s="10" t="n"/>
      <c r="H59" s="10" t="inlineStr">
        <is>
          <t>—</t>
        </is>
      </c>
      <c r="I59" s="10" t="inlineStr"/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-0.3744</v>
      </c>
      <c r="D60" s="12" t="n">
        <v>55</v>
      </c>
      <c r="E60" s="12" t="n">
        <v>0.3468</v>
      </c>
      <c r="F60" s="12" t="n">
        <v>27</v>
      </c>
      <c r="G60" s="12" t="n">
        <v>-0.175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0.3104</v>
      </c>
      <c r="D61" s="10" t="n">
        <v>2800</v>
      </c>
      <c r="E61" s="10" t="n">
        <v>-0.07539999999999999</v>
      </c>
      <c r="F61" s="10" t="n">
        <v>3257</v>
      </c>
      <c r="G61" s="10" t="n">
        <v>1.035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-0.4636</v>
      </c>
      <c r="D62" s="10" t="n">
        <v>2055</v>
      </c>
      <c r="E62" s="10" t="n">
        <v>-0.0517</v>
      </c>
      <c r="F62" s="10" t="n">
        <v>2279</v>
      </c>
      <c r="G62" s="10" t="n">
        <v>-1.324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10" t="n"/>
      <c r="D63" s="10" t="n">
        <v>1</v>
      </c>
      <c r="E63" s="10" t="n"/>
      <c r="F63" s="10" t="n"/>
      <c r="G63" s="10" t="n"/>
      <c r="H63" s="10" t="inlineStr">
        <is>
          <t>—</t>
        </is>
      </c>
      <c r="I63" s="10" t="inlineStr"/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-2.3268</v>
      </c>
      <c r="D64" s="12" t="n">
        <v>55</v>
      </c>
      <c r="E64" s="12" t="n">
        <v>0.3818</v>
      </c>
      <c r="F64" s="12" t="n">
        <v>25</v>
      </c>
      <c r="G64" s="12" t="n">
        <v>-1.087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-0.3546</v>
      </c>
      <c r="D65" s="10" t="n">
        <v>3036</v>
      </c>
      <c r="E65" s="10" t="n">
        <v>-0.077</v>
      </c>
      <c r="F65" s="10" t="n">
        <v>3542</v>
      </c>
      <c r="G65" s="10" t="n">
        <v>-1.231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0.4676</v>
      </c>
      <c r="D66" s="10" t="n">
        <v>2063</v>
      </c>
      <c r="E66" s="10" t="n">
        <v>-0.0552</v>
      </c>
      <c r="F66" s="10" t="n">
        <v>2304</v>
      </c>
      <c r="G66" s="10" t="n">
        <v>1.338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10" t="n"/>
      <c r="D67" s="10" t="n">
        <v>1</v>
      </c>
      <c r="E67" s="10" t="n"/>
      <c r="F67" s="10" t="n"/>
      <c r="G67" s="10" t="n"/>
      <c r="H67" s="10" t="inlineStr">
        <is>
          <t>—</t>
        </is>
      </c>
      <c r="I67" s="10" t="inlineStr"/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2.4677</v>
      </c>
      <c r="D68" s="12" t="n">
        <v>55</v>
      </c>
      <c r="E68" s="12" t="n">
        <v>0.3735</v>
      </c>
      <c r="F68" s="12" t="n">
        <v>25</v>
      </c>
      <c r="G68" s="12" t="n">
        <v>1.153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0.2117</v>
      </c>
      <c r="D69" s="10" t="n">
        <v>2800</v>
      </c>
      <c r="E69" s="10" t="n">
        <v>-0.0751</v>
      </c>
      <c r="F69" s="10" t="n">
        <v>3254</v>
      </c>
      <c r="G69" s="10" t="n">
        <v>0.706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-0.1226</v>
      </c>
      <c r="D70" s="10" t="n">
        <v>2053</v>
      </c>
      <c r="E70" s="10" t="n">
        <v>-0.0514</v>
      </c>
      <c r="F70" s="10" t="n">
        <v>2276</v>
      </c>
      <c r="G70" s="10" t="n">
        <v>-0.35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10" t="n"/>
      <c r="D71" s="10" t="n">
        <v>1</v>
      </c>
      <c r="E71" s="10" t="n"/>
      <c r="F71" s="10" t="n"/>
      <c r="G71" s="10" t="n"/>
      <c r="H71" s="10" t="inlineStr">
        <is>
          <t>—</t>
        </is>
      </c>
      <c r="I71" s="10" t="inlineStr"/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-2.3268</v>
      </c>
      <c r="D72" s="12" t="n">
        <v>55</v>
      </c>
      <c r="E72" s="12" t="n">
        <v>0.3818</v>
      </c>
      <c r="F72" s="12" t="n">
        <v>25</v>
      </c>
      <c r="G72" s="12" t="n">
        <v>-1.087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0.2551</v>
      </c>
      <c r="D73" s="10" t="n">
        <v>3021</v>
      </c>
      <c r="E73" s="10" t="n">
        <v>-0.07240000000000001</v>
      </c>
      <c r="F73" s="10" t="n">
        <v>3493</v>
      </c>
      <c r="G73" s="10" t="n">
        <v>0.883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0.3072</v>
      </c>
      <c r="D74" s="10" t="n">
        <v>2063</v>
      </c>
      <c r="E74" s="10" t="n">
        <v>-0.008399999999999999</v>
      </c>
      <c r="F74" s="10" t="n">
        <v>2098</v>
      </c>
      <c r="G74" s="10" t="n">
        <v>0.879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10" t="n"/>
      <c r="D75" s="10" t="n">
        <v>1</v>
      </c>
      <c r="E75" s="10" t="n"/>
      <c r="F75" s="10" t="n"/>
      <c r="G75" s="10" t="n"/>
      <c r="H75" s="10" t="inlineStr">
        <is>
          <t>—</t>
        </is>
      </c>
      <c r="I75" s="10" t="inlineStr"/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-1.3747</v>
      </c>
      <c r="D76" s="12" t="n">
        <v>55</v>
      </c>
      <c r="E76" s="12" t="n">
        <v>0.4529</v>
      </c>
      <c r="F76" s="12" t="n">
        <v>21</v>
      </c>
      <c r="G76" s="12" t="n">
        <v>-0.642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-0.4272</v>
      </c>
      <c r="D77" s="10" t="n">
        <v>2126</v>
      </c>
      <c r="E77" s="10" t="n">
        <v>-0.0785</v>
      </c>
      <c r="F77" s="10" t="n">
        <v>2488</v>
      </c>
      <c r="G77" s="10" t="n">
        <v>-1.241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0.6563</v>
      </c>
      <c r="D78" s="10" t="n">
        <v>1448</v>
      </c>
      <c r="E78" s="10" t="n">
        <v>-0.0561</v>
      </c>
      <c r="F78" s="10" t="n">
        <v>1620</v>
      </c>
      <c r="G78" s="10" t="n">
        <v>1.573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10" t="n"/>
      <c r="D79" s="10" t="n">
        <v>1</v>
      </c>
      <c r="E79" s="10" t="n"/>
      <c r="F79" s="10" t="n"/>
      <c r="G79" s="10" t="n"/>
      <c r="H79" s="10" t="inlineStr">
        <is>
          <t>—</t>
        </is>
      </c>
      <c r="I79" s="10" t="inlineStr"/>
    </row>
    <row r="80">
      <c r="A80" s="11" t="inlineStr">
        <is>
          <t>Value: F8 5yr +/-10%</t>
        </is>
      </c>
      <c r="B80" s="12" t="inlineStr">
        <is>
          <t>Concave Backwardation</t>
        </is>
      </c>
      <c r="C80" s="13" t="n">
        <v>2.318</v>
      </c>
      <c r="D80" s="12" t="n">
        <v>55</v>
      </c>
      <c r="E80" s="12" t="n">
        <v>0.3824</v>
      </c>
      <c r="F80" s="12" t="n">
        <v>25</v>
      </c>
      <c r="G80" s="12" t="n">
        <v>1.083</v>
      </c>
      <c r="H80" s="12" t="inlineStr">
        <is>
          <t>—</t>
        </is>
      </c>
      <c r="I80" s="12" t="inlineStr">
        <is>
          <t>CAUTION: positive autocorr, effective N materially below nominal N</t>
        </is>
      </c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Copper (COMEX)</t>
        </is>
      </c>
    </row>
    <row r="2">
      <c r="A2" s="2" t="inlineStr">
        <is>
          <t>Ticker: HG  |  COMEX, Precious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0.3143</v>
      </c>
      <c r="C7" s="7" t="n">
        <v>-0.2922</v>
      </c>
      <c r="D7" s="7" t="n">
        <v>-0.6234</v>
      </c>
      <c r="G7" s="8" t="inlineStr">
        <is>
          <t>Low</t>
        </is>
      </c>
      <c r="H7" s="9" t="n">
        <v>39.06</v>
      </c>
      <c r="I7" s="10" t="n">
        <v>1913</v>
      </c>
    </row>
    <row r="8">
      <c r="A8" s="6" t="inlineStr">
        <is>
          <t>Momentum: MA(5,60)</t>
        </is>
      </c>
      <c r="B8" s="7" t="n">
        <v>0.3786</v>
      </c>
      <c r="C8" s="7" t="n">
        <v>-0.2673</v>
      </c>
      <c r="D8" s="7" t="n">
        <v>-0.4779</v>
      </c>
      <c r="G8" s="8" t="inlineStr">
        <is>
          <t>Medium</t>
        </is>
      </c>
      <c r="H8" s="9" t="n">
        <v>29.79</v>
      </c>
      <c r="I8" s="10" t="n">
        <v>1459</v>
      </c>
    </row>
    <row r="9">
      <c r="A9" s="6" t="inlineStr">
        <is>
          <t>Momentum: MA(20,250)</t>
        </is>
      </c>
      <c r="B9" s="7" t="n">
        <v>0.2978</v>
      </c>
      <c r="C9" s="7" t="n">
        <v>-0.2005</v>
      </c>
      <c r="D9" s="7" t="n">
        <v>0.0529</v>
      </c>
      <c r="G9" s="8" t="inlineStr">
        <is>
          <t>High</t>
        </is>
      </c>
      <c r="H9" s="9" t="n">
        <v>31.16</v>
      </c>
      <c r="I9" s="10" t="n">
        <v>1526</v>
      </c>
    </row>
    <row r="10">
      <c r="A10" s="6" t="inlineStr">
        <is>
          <t>Carry: V1 Level</t>
        </is>
      </c>
      <c r="B10" s="7" t="n">
        <v>-0.5318000000000001</v>
      </c>
      <c r="C10" s="7" t="n">
        <v>-0.2951</v>
      </c>
      <c r="D10" s="7" t="n">
        <v>-0.1688</v>
      </c>
    </row>
    <row r="11">
      <c r="A11" s="6" t="inlineStr">
        <is>
          <t>Carry: V2 Z-score</t>
        </is>
      </c>
      <c r="B11" s="7" t="n">
        <v>0.2538</v>
      </c>
      <c r="C11" s="7" t="n">
        <v>-0.4882</v>
      </c>
      <c r="D11" s="7" t="n">
        <v>0.0963</v>
      </c>
    </row>
    <row r="12">
      <c r="A12" s="6" t="inlineStr">
        <is>
          <t>Carry: V3 Carry-Mom</t>
        </is>
      </c>
      <c r="B12" s="7" t="n">
        <v>0.7523</v>
      </c>
      <c r="C12" s="7" t="n">
        <v>-0.3089</v>
      </c>
      <c r="D12" s="7" t="n">
        <v>0.1386</v>
      </c>
    </row>
    <row r="13">
      <c r="A13" s="6" t="inlineStr">
        <is>
          <t>Value: F8 5yr +/-10%</t>
        </is>
      </c>
      <c r="B13" s="7" t="n">
        <v>0.2167</v>
      </c>
      <c r="C13" s="7" t="n">
        <v>0.6512</v>
      </c>
      <c r="D13" s="7" t="n">
        <v>-0.0023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0.3143</v>
      </c>
      <c r="D17" s="10" t="n">
        <v>1913</v>
      </c>
      <c r="E17" s="10" t="n">
        <v>-0.0407</v>
      </c>
      <c r="F17" s="10" t="n">
        <v>2075</v>
      </c>
      <c r="G17" s="10" t="n">
        <v>0.866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-0.2922</v>
      </c>
      <c r="D18" s="10" t="n">
        <v>1452</v>
      </c>
      <c r="E18" s="10" t="n">
        <v>-0.0639</v>
      </c>
      <c r="F18" s="10" t="n">
        <v>1650</v>
      </c>
      <c r="G18" s="10" t="n">
        <v>-0.702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-0.6234</v>
      </c>
      <c r="D19" s="10" t="n">
        <v>1507</v>
      </c>
      <c r="E19" s="10" t="n">
        <v>-0.0373</v>
      </c>
      <c r="F19" s="10" t="n">
        <v>1624</v>
      </c>
      <c r="G19" s="10" t="n">
        <v>-1.525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0.3786</v>
      </c>
      <c r="D20" s="10" t="n">
        <v>1913</v>
      </c>
      <c r="E20" s="10" t="n">
        <v>-0.0533</v>
      </c>
      <c r="F20" s="10" t="n">
        <v>2129</v>
      </c>
      <c r="G20" s="10" t="n">
        <v>1.043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-0.2673</v>
      </c>
      <c r="D21" s="10" t="n">
        <v>1412</v>
      </c>
      <c r="E21" s="10" t="n">
        <v>-0.0592</v>
      </c>
      <c r="F21" s="10" t="n">
        <v>1590</v>
      </c>
      <c r="G21" s="10" t="n">
        <v>-0.633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-0.4779</v>
      </c>
      <c r="D22" s="10" t="n">
        <v>1507</v>
      </c>
      <c r="E22" s="10" t="n">
        <v>-0.0633</v>
      </c>
      <c r="F22" s="10" t="n">
        <v>1711</v>
      </c>
      <c r="G22" s="10" t="n">
        <v>-1.169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0.2978</v>
      </c>
      <c r="D23" s="10" t="n">
        <v>1743</v>
      </c>
      <c r="E23" s="10" t="n">
        <v>-0.0397</v>
      </c>
      <c r="F23" s="10" t="n">
        <v>1887</v>
      </c>
      <c r="G23" s="10" t="n">
        <v>0.783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-0.2005</v>
      </c>
      <c r="D24" s="10" t="n">
        <v>1392</v>
      </c>
      <c r="E24" s="10" t="n">
        <v>-0.0418</v>
      </c>
      <c r="F24" s="10" t="n">
        <v>1513</v>
      </c>
      <c r="G24" s="10" t="n">
        <v>-0.471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0.0529</v>
      </c>
      <c r="D25" s="10" t="n">
        <v>1507</v>
      </c>
      <c r="E25" s="10" t="n">
        <v>-0.06859999999999999</v>
      </c>
      <c r="F25" s="10" t="n">
        <v>1729</v>
      </c>
      <c r="G25" s="10" t="n">
        <v>0.129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-0.5318000000000001</v>
      </c>
      <c r="D26" s="10" t="n">
        <v>1896</v>
      </c>
      <c r="E26" s="10" t="n">
        <v>-0.0373</v>
      </c>
      <c r="F26" s="10" t="n">
        <v>2043</v>
      </c>
      <c r="G26" s="10" t="n">
        <v>-1.459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-0.2951</v>
      </c>
      <c r="D27" s="10" t="n">
        <v>1442</v>
      </c>
      <c r="E27" s="10" t="n">
        <v>-0.0556</v>
      </c>
      <c r="F27" s="10" t="n">
        <v>1612</v>
      </c>
      <c r="G27" s="10" t="n">
        <v>-0.706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-0.1688</v>
      </c>
      <c r="D28" s="10" t="n">
        <v>1503</v>
      </c>
      <c r="E28" s="10" t="n">
        <v>-0.0544</v>
      </c>
      <c r="F28" s="10" t="n">
        <v>1676</v>
      </c>
      <c r="G28" s="10" t="n">
        <v>-0.412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0.2538</v>
      </c>
      <c r="D29" s="10" t="n">
        <v>1913</v>
      </c>
      <c r="E29" s="10" t="n">
        <v>-0.0432</v>
      </c>
      <c r="F29" s="10" t="n">
        <v>2086</v>
      </c>
      <c r="G29" s="10" t="n">
        <v>0.699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-0.4882</v>
      </c>
      <c r="D30" s="10" t="n">
        <v>1459</v>
      </c>
      <c r="E30" s="10" t="n">
        <v>-0.06950000000000001</v>
      </c>
      <c r="F30" s="10" t="n">
        <v>1677</v>
      </c>
      <c r="G30" s="10" t="n">
        <v>-1.175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0.0963</v>
      </c>
      <c r="D31" s="10" t="n">
        <v>1524</v>
      </c>
      <c r="E31" s="10" t="n">
        <v>-0.0474</v>
      </c>
      <c r="F31" s="10" t="n">
        <v>1676</v>
      </c>
      <c r="G31" s="10" t="n">
        <v>0.237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0.7523</v>
      </c>
      <c r="D32" s="10" t="n">
        <v>1913</v>
      </c>
      <c r="E32" s="10" t="n">
        <v>-0.0234</v>
      </c>
      <c r="F32" s="10" t="n">
        <v>2005</v>
      </c>
      <c r="G32" s="10" t="n">
        <v>2.073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-0.3089</v>
      </c>
      <c r="D33" s="10" t="n">
        <v>1459</v>
      </c>
      <c r="E33" s="10" t="n">
        <v>-0.0529</v>
      </c>
      <c r="F33" s="10" t="n">
        <v>1622</v>
      </c>
      <c r="G33" s="10" t="n">
        <v>-0.743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0.1386</v>
      </c>
      <c r="D34" s="10" t="n">
        <v>1523</v>
      </c>
      <c r="E34" s="10" t="n">
        <v>-0.023</v>
      </c>
      <c r="F34" s="10" t="n">
        <v>1595</v>
      </c>
      <c r="G34" s="10" t="n">
        <v>0.341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0.2167</v>
      </c>
      <c r="D35" s="10" t="n">
        <v>1049</v>
      </c>
      <c r="E35" s="10" t="n">
        <v>-0.0687</v>
      </c>
      <c r="F35" s="10" t="n">
        <v>1204</v>
      </c>
      <c r="G35" s="10" t="n">
        <v>0.442</v>
      </c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0.6512</v>
      </c>
      <c r="D36" s="10" t="n">
        <v>814</v>
      </c>
      <c r="E36" s="10" t="n">
        <v>-0.012</v>
      </c>
      <c r="F36" s="10" t="n">
        <v>834</v>
      </c>
      <c r="G36" s="10" t="n">
        <v>1.17</v>
      </c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-0.0023</v>
      </c>
      <c r="D37" s="10" t="n">
        <v>1205</v>
      </c>
      <c r="E37" s="10" t="n">
        <v>-0.06510000000000001</v>
      </c>
      <c r="F37" s="10" t="n">
        <v>1373</v>
      </c>
      <c r="G37" s="10" t="n">
        <v>-0.005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-0.4191</v>
      </c>
      <c r="C43" s="7" t="n">
        <v>-0.0934</v>
      </c>
      <c r="D43" s="7" t="n">
        <v>-0.8111</v>
      </c>
      <c r="E43" s="7" t="n">
        <v>0.4064</v>
      </c>
      <c r="H43" s="8" t="inlineStr">
        <is>
          <t>Concave Contango</t>
        </is>
      </c>
      <c r="I43" s="9" t="n">
        <v>53.6</v>
      </c>
      <c r="J43" s="10" t="n">
        <v>2762</v>
      </c>
    </row>
    <row r="44">
      <c r="A44" s="6" t="inlineStr">
        <is>
          <t>Momentum: MA(5,60)</t>
        </is>
      </c>
      <c r="B44" s="7" t="n">
        <v>-0.467</v>
      </c>
      <c r="C44" s="7" t="n">
        <v>0.4185</v>
      </c>
      <c r="D44" s="7" t="n">
        <v>-1.0613</v>
      </c>
      <c r="E44" s="7" t="n">
        <v>0.4867</v>
      </c>
      <c r="H44" s="8" t="inlineStr">
        <is>
          <t>Convex Contango</t>
        </is>
      </c>
      <c r="I44" s="9" t="n">
        <v>19.06</v>
      </c>
      <c r="J44" s="10" t="n">
        <v>982</v>
      </c>
    </row>
    <row r="45">
      <c r="A45" s="6" t="inlineStr">
        <is>
          <t>Momentum: MA(20,250)</t>
        </is>
      </c>
      <c r="B45" s="7" t="n">
        <v>-0.0095</v>
      </c>
      <c r="C45" s="7" t="n">
        <v>-0.06279999999999999</v>
      </c>
      <c r="D45" s="7" t="n">
        <v>0.7409</v>
      </c>
      <c r="E45" s="7" t="n">
        <v>-0.0311</v>
      </c>
      <c r="H45" s="8" t="inlineStr">
        <is>
          <t>Convex Backwardation</t>
        </is>
      </c>
      <c r="I45" s="9" t="n">
        <v>9.529999999999999</v>
      </c>
      <c r="J45" s="10" t="n">
        <v>491</v>
      </c>
    </row>
    <row r="46">
      <c r="A46" s="6" t="inlineStr">
        <is>
          <t>Carry: V1 Level</t>
        </is>
      </c>
      <c r="B46" s="7" t="n">
        <v>0.0138</v>
      </c>
      <c r="C46" s="7" t="n">
        <v>-0.1151</v>
      </c>
      <c r="D46" s="7" t="n">
        <v>0.4607</v>
      </c>
      <c r="E46" s="7" t="n">
        <v>-1.0243</v>
      </c>
      <c r="H46" s="8" t="inlineStr">
        <is>
          <t>Concave Backwardation</t>
        </is>
      </c>
      <c r="I46" s="9" t="n">
        <v>17.81</v>
      </c>
      <c r="J46" s="10" t="n">
        <v>918</v>
      </c>
    </row>
    <row r="47">
      <c r="A47" s="6" t="inlineStr">
        <is>
          <t>Carry: V2 Z-score</t>
        </is>
      </c>
      <c r="B47" s="7" t="n">
        <v>-0.1161</v>
      </c>
      <c r="C47" s="7" t="n">
        <v>0.1084</v>
      </c>
      <c r="D47" s="7" t="n">
        <v>0.1516</v>
      </c>
      <c r="E47" s="7" t="n">
        <v>-0.0194</v>
      </c>
    </row>
    <row r="48">
      <c r="A48" s="6" t="inlineStr">
        <is>
          <t>Carry: V3 Carry-Mom</t>
        </is>
      </c>
      <c r="B48" s="7" t="n">
        <v>0.5815</v>
      </c>
      <c r="C48" s="7" t="n">
        <v>-0.1132</v>
      </c>
      <c r="D48" s="7" t="n">
        <v>-0.5653</v>
      </c>
      <c r="E48" s="7" t="n">
        <v>-0.1596</v>
      </c>
    </row>
    <row r="49">
      <c r="A49" s="6" t="inlineStr">
        <is>
          <t>Value: F8 5yr +/-10%</t>
        </is>
      </c>
      <c r="B49" s="7" t="n">
        <v>0.5427999999999999</v>
      </c>
      <c r="C49" s="7" t="n">
        <v>0.4904</v>
      </c>
      <c r="D49" s="7" t="n">
        <v>-0.6385999999999999</v>
      </c>
      <c r="E49" s="7" t="n">
        <v>-1.4941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-0.4191</v>
      </c>
      <c r="D53" s="10" t="n">
        <v>2738</v>
      </c>
      <c r="E53" s="10" t="n">
        <v>-0.0687</v>
      </c>
      <c r="F53" s="10" t="n">
        <v>3142</v>
      </c>
      <c r="G53" s="10" t="n">
        <v>-1.381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-0.0934</v>
      </c>
      <c r="D54" s="10" t="n">
        <v>982</v>
      </c>
      <c r="E54" s="10" t="n">
        <v>-0.0097</v>
      </c>
      <c r="F54" s="10" t="n">
        <v>1001</v>
      </c>
      <c r="G54" s="10" t="n">
        <v>-0.184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-0.8111</v>
      </c>
      <c r="D55" s="10" t="n">
        <v>491</v>
      </c>
      <c r="E55" s="10" t="n">
        <v>-0.0011</v>
      </c>
      <c r="F55" s="10" t="n">
        <v>492</v>
      </c>
      <c r="G55" s="10" t="n">
        <v>-1.132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0.4064</v>
      </c>
      <c r="D56" s="10" t="n">
        <v>897</v>
      </c>
      <c r="E56" s="10" t="n">
        <v>-0.0491</v>
      </c>
      <c r="F56" s="10" t="n">
        <v>990</v>
      </c>
      <c r="G56" s="10" t="n">
        <v>0.767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-0.467</v>
      </c>
      <c r="D57" s="10" t="n">
        <v>2719</v>
      </c>
      <c r="E57" s="10" t="n">
        <v>-0.07820000000000001</v>
      </c>
      <c r="F57" s="10" t="n">
        <v>3181</v>
      </c>
      <c r="G57" s="10" t="n">
        <v>-1.534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0.4185</v>
      </c>
      <c r="D58" s="10" t="n">
        <v>961</v>
      </c>
      <c r="E58" s="10" t="n">
        <v>-0.0658</v>
      </c>
      <c r="F58" s="10" t="n">
        <v>1096</v>
      </c>
      <c r="G58" s="10" t="n">
        <v>0.8169999999999999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-1.0613</v>
      </c>
      <c r="D59" s="10" t="n">
        <v>490</v>
      </c>
      <c r="E59" s="10" t="n">
        <v>-0.0386</v>
      </c>
      <c r="F59" s="10" t="n">
        <v>529</v>
      </c>
      <c r="G59" s="10" t="n">
        <v>-1.48</v>
      </c>
      <c r="H59" s="10" t="inlineStr">
        <is>
          <t>—</t>
        </is>
      </c>
      <c r="I59" s="10" t="inlineStr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0.4867</v>
      </c>
      <c r="D60" s="10" t="n">
        <v>858</v>
      </c>
      <c r="E60" s="10" t="n">
        <v>-0.0176</v>
      </c>
      <c r="F60" s="10" t="n">
        <v>889</v>
      </c>
      <c r="G60" s="10" t="n">
        <v>0.898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-0.0095</v>
      </c>
      <c r="D61" s="10" t="n">
        <v>2564</v>
      </c>
      <c r="E61" s="10" t="n">
        <v>-0.07829999999999999</v>
      </c>
      <c r="F61" s="10" t="n">
        <v>3000</v>
      </c>
      <c r="G61" s="10" t="n">
        <v>-0.03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-0.06279999999999999</v>
      </c>
      <c r="D62" s="10" t="n">
        <v>914</v>
      </c>
      <c r="E62" s="10" t="n">
        <v>-0.08450000000000001</v>
      </c>
      <c r="F62" s="10" t="n">
        <v>1083</v>
      </c>
      <c r="G62" s="10" t="n">
        <v>-0.12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0.7409</v>
      </c>
      <c r="D63" s="10" t="n">
        <v>451</v>
      </c>
      <c r="E63" s="10" t="n">
        <v>0.0447</v>
      </c>
      <c r="F63" s="10" t="n">
        <v>412</v>
      </c>
      <c r="G63" s="10" t="n">
        <v>0.991</v>
      </c>
      <c r="H63" s="10" t="inlineStr">
        <is>
          <t>—</t>
        </is>
      </c>
      <c r="I63" s="10" t="inlineStr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-0.0311</v>
      </c>
      <c r="D64" s="10" t="n">
        <v>719</v>
      </c>
      <c r="E64" s="10" t="n">
        <v>-0.0442</v>
      </c>
      <c r="F64" s="10" t="n">
        <v>786</v>
      </c>
      <c r="G64" s="10" t="n">
        <v>-0.053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0.0138</v>
      </c>
      <c r="D65" s="10" t="n">
        <v>2751</v>
      </c>
      <c r="E65" s="10" t="n">
        <v>-0.0819</v>
      </c>
      <c r="F65" s="10" t="n">
        <v>3241</v>
      </c>
      <c r="G65" s="10" t="n">
        <v>0.045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-0.1151</v>
      </c>
      <c r="D66" s="10" t="n">
        <v>964</v>
      </c>
      <c r="E66" s="10" t="n">
        <v>-0.0445</v>
      </c>
      <c r="F66" s="10" t="n">
        <v>1054</v>
      </c>
      <c r="G66" s="10" t="n">
        <v>-0.225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0.4607</v>
      </c>
      <c r="D67" s="10" t="n">
        <v>487</v>
      </c>
      <c r="E67" s="10" t="n">
        <v>0.0012</v>
      </c>
      <c r="F67" s="10" t="n">
        <v>486</v>
      </c>
      <c r="G67" s="10" t="n">
        <v>0.64</v>
      </c>
      <c r="H67" s="10" t="inlineStr">
        <is>
          <t>—</t>
        </is>
      </c>
      <c r="I67" s="10" t="inlineStr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-1.0243</v>
      </c>
      <c r="D68" s="10" t="n">
        <v>890</v>
      </c>
      <c r="E68" s="10" t="n">
        <v>-0.0253</v>
      </c>
      <c r="F68" s="10" t="n">
        <v>936</v>
      </c>
      <c r="G68" s="10" t="n">
        <v>-1.925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-0.1161</v>
      </c>
      <c r="D69" s="10" t="n">
        <v>2738</v>
      </c>
      <c r="E69" s="10" t="n">
        <v>-0.0673</v>
      </c>
      <c r="F69" s="10" t="n">
        <v>3133</v>
      </c>
      <c r="G69" s="10" t="n">
        <v>-0.383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0.1084</v>
      </c>
      <c r="D70" s="10" t="n">
        <v>982</v>
      </c>
      <c r="E70" s="10" t="n">
        <v>-0.0327</v>
      </c>
      <c r="F70" s="10" t="n">
        <v>1048</v>
      </c>
      <c r="G70" s="10" t="n">
        <v>0.214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0.1516</v>
      </c>
      <c r="D71" s="10" t="n">
        <v>463</v>
      </c>
      <c r="E71" s="10" t="n">
        <v>0.0594</v>
      </c>
      <c r="F71" s="10" t="n">
        <v>411</v>
      </c>
      <c r="G71" s="10" t="n">
        <v>0.205</v>
      </c>
      <c r="H71" s="10" t="inlineStr">
        <is>
          <t>—</t>
        </is>
      </c>
      <c r="I71" s="10" t="inlineStr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-0.0194</v>
      </c>
      <c r="D72" s="10" t="n">
        <v>718</v>
      </c>
      <c r="E72" s="10" t="n">
        <v>-0.0323</v>
      </c>
      <c r="F72" s="10" t="n">
        <v>766</v>
      </c>
      <c r="G72" s="10" t="n">
        <v>-0.033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0.5815</v>
      </c>
      <c r="D73" s="10" t="n">
        <v>2761</v>
      </c>
      <c r="E73" s="10" t="n">
        <v>-0.042</v>
      </c>
      <c r="F73" s="10" t="n">
        <v>3003</v>
      </c>
      <c r="G73" s="10" t="n">
        <v>1.925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-0.1132</v>
      </c>
      <c r="D74" s="10" t="n">
        <v>982</v>
      </c>
      <c r="E74" s="10" t="n">
        <v>-0.0108</v>
      </c>
      <c r="F74" s="10" t="n">
        <v>1004</v>
      </c>
      <c r="G74" s="10" t="n">
        <v>-0.224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-0.5653</v>
      </c>
      <c r="D75" s="10" t="n">
        <v>491</v>
      </c>
      <c r="E75" s="10" t="n">
        <v>-0.09520000000000001</v>
      </c>
      <c r="F75" s="10" t="n">
        <v>594</v>
      </c>
      <c r="G75" s="10" t="n">
        <v>-0.789</v>
      </c>
      <c r="H75" s="10" t="inlineStr">
        <is>
          <t>—</t>
        </is>
      </c>
      <c r="I75" s="10" t="inlineStr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-0.1596</v>
      </c>
      <c r="D76" s="10" t="n">
        <v>896</v>
      </c>
      <c r="E76" s="10" t="n">
        <v>-0.0342</v>
      </c>
      <c r="F76" s="10" t="n">
        <v>959</v>
      </c>
      <c r="G76" s="10" t="n">
        <v>-0.301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0.5427999999999999</v>
      </c>
      <c r="D77" s="10" t="n">
        <v>1783</v>
      </c>
      <c r="E77" s="10" t="n">
        <v>-0.0828</v>
      </c>
      <c r="F77" s="10" t="n">
        <v>2105</v>
      </c>
      <c r="G77" s="10" t="n">
        <v>1.444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0.4904</v>
      </c>
      <c r="D78" s="10" t="n">
        <v>594</v>
      </c>
      <c r="E78" s="10" t="n">
        <v>-0.0752</v>
      </c>
      <c r="F78" s="10" t="n">
        <v>691</v>
      </c>
      <c r="G78" s="10" t="n">
        <v>0.753</v>
      </c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7" t="n">
        <v>-0.6385999999999999</v>
      </c>
      <c r="D79" s="10" t="n">
        <v>337</v>
      </c>
      <c r="E79" s="10" t="n">
        <v>0</v>
      </c>
      <c r="F79" s="10" t="n">
        <v>337</v>
      </c>
      <c r="G79" s="10" t="n">
        <v>-0.739</v>
      </c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-1.4941</v>
      </c>
      <c r="D80" s="10" t="n">
        <v>350</v>
      </c>
      <c r="E80" s="10" t="n">
        <v>-0.0431</v>
      </c>
      <c r="F80" s="10" t="n">
        <v>382</v>
      </c>
      <c r="G80" s="10" t="n">
        <v>-1.761</v>
      </c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Platinum</t>
        </is>
      </c>
    </row>
    <row r="2">
      <c r="A2" s="2" t="inlineStr">
        <is>
          <t>Ticker: PL  |  NYMEX, Precious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0.2915</v>
      </c>
      <c r="C7" s="7" t="n">
        <v>-0.0557</v>
      </c>
      <c r="D7" s="7" t="n">
        <v>0.1918</v>
      </c>
      <c r="G7" s="8" t="inlineStr">
        <is>
          <t>Low</t>
        </is>
      </c>
      <c r="H7" s="9" t="n">
        <v>42.06</v>
      </c>
      <c r="I7" s="10" t="n">
        <v>2059</v>
      </c>
    </row>
    <row r="8">
      <c r="A8" s="6" t="inlineStr">
        <is>
          <t>Momentum: MA(5,60)</t>
        </is>
      </c>
      <c r="B8" s="7" t="n">
        <v>-0.0641</v>
      </c>
      <c r="C8" s="7" t="n">
        <v>-0.3573</v>
      </c>
      <c r="D8" s="7" t="n">
        <v>0.5766</v>
      </c>
      <c r="G8" s="8" t="inlineStr">
        <is>
          <t>Medium</t>
        </is>
      </c>
      <c r="H8" s="9" t="n">
        <v>30.99</v>
      </c>
      <c r="I8" s="10" t="n">
        <v>1517</v>
      </c>
    </row>
    <row r="9">
      <c r="A9" s="6" t="inlineStr">
        <is>
          <t>Momentum: MA(20,250)</t>
        </is>
      </c>
      <c r="B9" s="7" t="n">
        <v>0.1532</v>
      </c>
      <c r="C9" s="7" t="n">
        <v>-0.3365</v>
      </c>
      <c r="D9" s="7" t="n">
        <v>-0.2051</v>
      </c>
      <c r="G9" s="8" t="inlineStr">
        <is>
          <t>High</t>
        </is>
      </c>
      <c r="H9" s="9" t="n">
        <v>26.95</v>
      </c>
      <c r="I9" s="10" t="n">
        <v>1319</v>
      </c>
    </row>
    <row r="10">
      <c r="A10" s="6" t="inlineStr">
        <is>
          <t>Carry: V1 Level</t>
        </is>
      </c>
      <c r="B10" s="7" t="n">
        <v>0.0945</v>
      </c>
      <c r="C10" s="7" t="n">
        <v>-0.1925</v>
      </c>
      <c r="D10" s="7" t="n">
        <v>0.3105</v>
      </c>
    </row>
    <row r="11">
      <c r="A11" s="6" t="inlineStr">
        <is>
          <t>Carry: V2 Z-score</t>
        </is>
      </c>
      <c r="B11" s="7" t="n">
        <v>0.2076</v>
      </c>
      <c r="C11" s="7" t="n">
        <v>0.6315</v>
      </c>
      <c r="D11" s="7" t="n">
        <v>0.4709</v>
      </c>
    </row>
    <row r="12">
      <c r="A12" s="6" t="inlineStr">
        <is>
          <t>Carry: V3 Carry-Mom</t>
        </is>
      </c>
      <c r="B12" s="7" t="n">
        <v>-0.1842</v>
      </c>
      <c r="C12" s="7" t="n">
        <v>0.5202</v>
      </c>
      <c r="D12" s="7" t="n">
        <v>0.2433</v>
      </c>
    </row>
    <row r="13">
      <c r="A13" s="6" t="inlineStr">
        <is>
          <t>Value: F8 5yr +/-10%</t>
        </is>
      </c>
      <c r="B13" s="7" t="n"/>
      <c r="C13" s="7" t="n"/>
      <c r="D13" s="7" t="n">
        <v>1.525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0.2915</v>
      </c>
      <c r="D17" s="10" t="n">
        <v>2059</v>
      </c>
      <c r="E17" s="10" t="n">
        <v>0.0256</v>
      </c>
      <c r="F17" s="10" t="n">
        <v>1956</v>
      </c>
      <c r="G17" s="10" t="n">
        <v>0.833</v>
      </c>
      <c r="H17" s="10" t="inlineStr">
        <is>
          <t>—</t>
        </is>
      </c>
      <c r="I17" s="10" t="inlineStr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-0.0557</v>
      </c>
      <c r="D18" s="10" t="n">
        <v>1517</v>
      </c>
      <c r="E18" s="10" t="n">
        <v>0.0371</v>
      </c>
      <c r="F18" s="10" t="n">
        <v>1409</v>
      </c>
      <c r="G18" s="10" t="n">
        <v>-0.137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0.1918</v>
      </c>
      <c r="D19" s="10" t="n">
        <v>1319</v>
      </c>
      <c r="E19" s="10" t="n">
        <v>-0.0648</v>
      </c>
      <c r="F19" s="10" t="n">
        <v>1502</v>
      </c>
      <c r="G19" s="10" t="n">
        <v>0.439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-0.0641</v>
      </c>
      <c r="D20" s="10" t="n">
        <v>2059</v>
      </c>
      <c r="E20" s="10" t="n">
        <v>0.0159</v>
      </c>
      <c r="F20" s="10" t="n">
        <v>1995</v>
      </c>
      <c r="G20" s="10" t="n">
        <v>-0.183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-0.3573</v>
      </c>
      <c r="D21" s="10" t="n">
        <v>1517</v>
      </c>
      <c r="E21" s="10" t="n">
        <v>0.0128</v>
      </c>
      <c r="F21" s="10" t="n">
        <v>1479</v>
      </c>
      <c r="G21" s="10" t="n">
        <v>-0.877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0.5766</v>
      </c>
      <c r="D22" s="10" t="n">
        <v>1319</v>
      </c>
      <c r="E22" s="10" t="n">
        <v>-0.0548</v>
      </c>
      <c r="F22" s="10" t="n">
        <v>1472</v>
      </c>
      <c r="G22" s="10" t="n">
        <v>1.319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0.1532</v>
      </c>
      <c r="D23" s="10" t="n">
        <v>2059</v>
      </c>
      <c r="E23" s="10" t="n">
        <v>0.0017</v>
      </c>
      <c r="F23" s="10" t="n">
        <v>2052</v>
      </c>
      <c r="G23" s="10" t="n">
        <v>0.438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-0.3365</v>
      </c>
      <c r="D24" s="10" t="n">
        <v>1517</v>
      </c>
      <c r="E24" s="10" t="n">
        <v>0.0105</v>
      </c>
      <c r="F24" s="10" t="n">
        <v>1485</v>
      </c>
      <c r="G24" s="10" t="n">
        <v>-0.826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-0.2051</v>
      </c>
      <c r="D25" s="10" t="n">
        <v>1319</v>
      </c>
      <c r="E25" s="10" t="n">
        <v>-0.078</v>
      </c>
      <c r="F25" s="10" t="n">
        <v>1542</v>
      </c>
      <c r="G25" s="10" t="n">
        <v>-0.469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0.0945</v>
      </c>
      <c r="D26" s="10" t="n">
        <v>2037</v>
      </c>
      <c r="E26" s="10" t="n">
        <v>0.0126</v>
      </c>
      <c r="F26" s="10" t="n">
        <v>1986</v>
      </c>
      <c r="G26" s="10" t="n">
        <v>0.269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-0.1925</v>
      </c>
      <c r="D27" s="10" t="n">
        <v>1504</v>
      </c>
      <c r="E27" s="10" t="n">
        <v>0.0161</v>
      </c>
      <c r="F27" s="10" t="n">
        <v>1456</v>
      </c>
      <c r="G27" s="10" t="n">
        <v>-0.47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0.3105</v>
      </c>
      <c r="D28" s="10" t="n">
        <v>1303</v>
      </c>
      <c r="E28" s="10" t="n">
        <v>-0.0878</v>
      </c>
      <c r="F28" s="10" t="n">
        <v>1554</v>
      </c>
      <c r="G28" s="10" t="n">
        <v>0.706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0.2076</v>
      </c>
      <c r="D29" s="10" t="n">
        <v>2059</v>
      </c>
      <c r="E29" s="10" t="n">
        <v>0.0055</v>
      </c>
      <c r="F29" s="10" t="n">
        <v>2036</v>
      </c>
      <c r="G29" s="10" t="n">
        <v>0.593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0.6315</v>
      </c>
      <c r="D30" s="10" t="n">
        <v>1517</v>
      </c>
      <c r="E30" s="10" t="n">
        <v>0.0104</v>
      </c>
      <c r="F30" s="10" t="n">
        <v>1486</v>
      </c>
      <c r="G30" s="10" t="n">
        <v>1.549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0.4709</v>
      </c>
      <c r="D31" s="10" t="n">
        <v>1319</v>
      </c>
      <c r="E31" s="10" t="n">
        <v>0.0596</v>
      </c>
      <c r="F31" s="10" t="n">
        <v>1171</v>
      </c>
      <c r="G31" s="10" t="n">
        <v>1.077</v>
      </c>
      <c r="H31" s="10" t="inlineStr">
        <is>
          <t>—</t>
        </is>
      </c>
      <c r="I31" s="10" t="inlineStr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-0.1842</v>
      </c>
      <c r="D32" s="10" t="n">
        <v>2059</v>
      </c>
      <c r="E32" s="10" t="n">
        <v>0.012</v>
      </c>
      <c r="F32" s="10" t="n">
        <v>2010</v>
      </c>
      <c r="G32" s="10" t="n">
        <v>-0.526</v>
      </c>
      <c r="H32" s="10" t="inlineStr">
        <is>
          <t>—</t>
        </is>
      </c>
      <c r="I32" s="10" t="inlineStr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0.5202</v>
      </c>
      <c r="D33" s="10" t="n">
        <v>1517</v>
      </c>
      <c r="E33" s="10" t="n">
        <v>0.009900000000000001</v>
      </c>
      <c r="F33" s="10" t="n">
        <v>1487</v>
      </c>
      <c r="G33" s="10" t="n">
        <v>1.276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0.2433</v>
      </c>
      <c r="D34" s="10" t="n">
        <v>1318</v>
      </c>
      <c r="E34" s="10" t="n">
        <v>0.0545</v>
      </c>
      <c r="F34" s="10" t="n">
        <v>1182</v>
      </c>
      <c r="G34" s="10" t="n">
        <v>0.556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10" t="n"/>
      <c r="D35" s="10" t="n">
        <v>0</v>
      </c>
      <c r="E35" s="10" t="n"/>
      <c r="F35" s="10" t="n"/>
      <c r="G35" s="10" t="n"/>
      <c r="H35" s="10" t="inlineStr">
        <is>
          <t>—</t>
        </is>
      </c>
      <c r="I35" s="10" t="inlineStr"/>
    </row>
    <row r="36">
      <c r="A36" s="6" t="inlineStr">
        <is>
          <t>Value: F8 5yr +/-10%</t>
        </is>
      </c>
      <c r="B36" s="10" t="inlineStr">
        <is>
          <t>Medium</t>
        </is>
      </c>
      <c r="C36" s="10" t="n"/>
      <c r="D36" s="10" t="n">
        <v>0</v>
      </c>
      <c r="E36" s="10" t="n"/>
      <c r="F36" s="10" t="n"/>
      <c r="G36" s="10" t="n"/>
      <c r="H36" s="10" t="inlineStr">
        <is>
          <t>—</t>
        </is>
      </c>
      <c r="I36" s="10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1.525</v>
      </c>
      <c r="D37" s="10" t="n">
        <v>114</v>
      </c>
      <c r="E37" s="10" t="n">
        <v>-0.136</v>
      </c>
      <c r="F37" s="10" t="n">
        <v>150</v>
      </c>
      <c r="G37" s="10" t="n">
        <v>1.026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0.1965</v>
      </c>
      <c r="C43" s="7" t="n">
        <v>-0.0076</v>
      </c>
      <c r="D43" s="7" t="n">
        <v>-3.4663</v>
      </c>
      <c r="E43" s="7" t="n">
        <v>-2.1171</v>
      </c>
      <c r="H43" s="8" t="inlineStr">
        <is>
          <t>Concave Contango</t>
        </is>
      </c>
      <c r="I43" s="9" t="n">
        <v>62.22</v>
      </c>
      <c r="J43" s="10" t="n">
        <v>2694</v>
      </c>
    </row>
    <row r="44">
      <c r="A44" s="6" t="inlineStr">
        <is>
          <t>Momentum: MA(5,60)</t>
        </is>
      </c>
      <c r="B44" s="7" t="n">
        <v>-0.0394</v>
      </c>
      <c r="C44" s="7" t="n">
        <v>-0.3678</v>
      </c>
      <c r="D44" s="7" t="n">
        <v>-3.1147</v>
      </c>
      <c r="E44" s="7" t="n">
        <v>0.6468</v>
      </c>
      <c r="H44" s="8" t="inlineStr">
        <is>
          <t>Convex Contango</t>
        </is>
      </c>
      <c r="I44" s="9" t="n">
        <v>35.84</v>
      </c>
      <c r="J44" s="10" t="n">
        <v>1552</v>
      </c>
    </row>
    <row r="45">
      <c r="A45" s="6" t="inlineStr">
        <is>
          <t>Momentum: MA(20,250)</t>
        </is>
      </c>
      <c r="B45" s="7" t="n">
        <v>-0.2101</v>
      </c>
      <c r="C45" s="7" t="n">
        <v>-0.4587</v>
      </c>
      <c r="D45" s="7" t="n">
        <v>-2.0314</v>
      </c>
      <c r="E45" s="7" t="n">
        <v>-1.2802</v>
      </c>
      <c r="H45" s="8" t="inlineStr">
        <is>
          <t>Convex Backwardation</t>
        </is>
      </c>
      <c r="I45" s="9" t="n">
        <v>1.15</v>
      </c>
      <c r="J45" s="10" t="n">
        <v>50</v>
      </c>
    </row>
    <row r="46">
      <c r="A46" s="6" t="inlineStr">
        <is>
          <t>Carry: V1 Level</t>
        </is>
      </c>
      <c r="B46" s="7" t="n">
        <v>0.3269</v>
      </c>
      <c r="C46" s="7" t="n">
        <v>-0.4372</v>
      </c>
      <c r="D46" s="7" t="n">
        <v>0.0322</v>
      </c>
      <c r="E46" s="7" t="n">
        <v>0.5926</v>
      </c>
      <c r="H46" s="8" t="inlineStr">
        <is>
          <t>Concave Backwardation</t>
        </is>
      </c>
      <c r="I46" s="9" t="n">
        <v>0.79</v>
      </c>
      <c r="J46" s="10" t="n">
        <v>34</v>
      </c>
    </row>
    <row r="47">
      <c r="A47" s="6" t="inlineStr">
        <is>
          <t>Carry: V2 Z-score</t>
        </is>
      </c>
      <c r="B47" s="7" t="n">
        <v>0.3691</v>
      </c>
      <c r="C47" s="7" t="n">
        <v>0.299</v>
      </c>
      <c r="D47" s="7" t="n">
        <v>2.6358</v>
      </c>
      <c r="E47" s="7" t="n">
        <v>0.3388</v>
      </c>
    </row>
    <row r="48">
      <c r="A48" s="6" t="inlineStr">
        <is>
          <t>Carry: V3 Carry-Mom</t>
        </is>
      </c>
      <c r="B48" s="7" t="n">
        <v>0.2231</v>
      </c>
      <c r="C48" s="7" t="n">
        <v>0.0069</v>
      </c>
      <c r="D48" s="7" t="n">
        <v>2.7591</v>
      </c>
      <c r="E48" s="7" t="n">
        <v>-4.4677</v>
      </c>
    </row>
    <row r="49">
      <c r="A49" s="6" t="inlineStr">
        <is>
          <t>Value: F8 5yr +/-10%</t>
        </is>
      </c>
      <c r="B49" s="7" t="n">
        <v>1.525</v>
      </c>
      <c r="C49" s="7" t="n"/>
      <c r="D49" s="7" t="n"/>
      <c r="E49" s="7" t="n"/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0.1965</v>
      </c>
      <c r="D53" s="10" t="n">
        <v>2694</v>
      </c>
      <c r="E53" s="10" t="n">
        <v>-0.08210000000000001</v>
      </c>
      <c r="F53" s="10" t="n">
        <v>3176</v>
      </c>
      <c r="G53" s="10" t="n">
        <v>0.643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-0.0076</v>
      </c>
      <c r="D54" s="10" t="n">
        <v>1552</v>
      </c>
      <c r="E54" s="10" t="n">
        <v>0.0621</v>
      </c>
      <c r="F54" s="10" t="n">
        <v>1370</v>
      </c>
      <c r="G54" s="10" t="n">
        <v>-0.019</v>
      </c>
      <c r="H54" s="10" t="inlineStr">
        <is>
          <t>—</t>
        </is>
      </c>
      <c r="I54" s="10" t="inlineStr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-3.4663</v>
      </c>
      <c r="D55" s="10" t="n">
        <v>50</v>
      </c>
      <c r="E55" s="10" t="n">
        <v>-0.2243</v>
      </c>
      <c r="F55" s="10" t="n">
        <v>79</v>
      </c>
      <c r="G55" s="10" t="n">
        <v>-1.544</v>
      </c>
      <c r="H55" s="10" t="inlineStr">
        <is>
          <t>—</t>
        </is>
      </c>
      <c r="I55" s="10" t="inlineStr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-2.1171</v>
      </c>
      <c r="D56" s="10" t="n">
        <v>34</v>
      </c>
      <c r="E56" s="10" t="n">
        <v>-0.0277</v>
      </c>
      <c r="F56" s="10" t="n">
        <v>36</v>
      </c>
      <c r="G56" s="10" t="n">
        <v>-0.778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-0.0394</v>
      </c>
      <c r="D57" s="10" t="n">
        <v>2694</v>
      </c>
      <c r="E57" s="10" t="n">
        <v>-0.0953</v>
      </c>
      <c r="F57" s="10" t="n">
        <v>3262</v>
      </c>
      <c r="G57" s="10" t="n">
        <v>-0.129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-0.3678</v>
      </c>
      <c r="D58" s="10" t="n">
        <v>1552</v>
      </c>
      <c r="E58" s="10" t="n">
        <v>0.0284</v>
      </c>
      <c r="F58" s="10" t="n">
        <v>1466</v>
      </c>
      <c r="G58" s="10" t="n">
        <v>-0.913</v>
      </c>
      <c r="H58" s="10" t="inlineStr">
        <is>
          <t>—</t>
        </is>
      </c>
      <c r="I58" s="10" t="inlineStr"/>
    </row>
    <row r="59">
      <c r="A59" s="6" t="inlineStr">
        <is>
          <t>Momentum: MA(5,60)</t>
        </is>
      </c>
      <c r="B59" s="10" t="inlineStr">
        <is>
          <t>Convex Backwardation</t>
        </is>
      </c>
      <c r="C59" s="7" t="n">
        <v>-3.1147</v>
      </c>
      <c r="D59" s="10" t="n">
        <v>50</v>
      </c>
      <c r="E59" s="10" t="n">
        <v>-0.1902</v>
      </c>
      <c r="F59" s="10" t="n">
        <v>73</v>
      </c>
      <c r="G59" s="10" t="n">
        <v>-1.387</v>
      </c>
      <c r="H59" s="10" t="inlineStr">
        <is>
          <t>—</t>
        </is>
      </c>
      <c r="I59" s="10" t="inlineStr"/>
    </row>
    <row r="60">
      <c r="A60" s="11" t="inlineStr">
        <is>
          <t>Momentum: MA(5,60)</t>
        </is>
      </c>
      <c r="B60" s="12" t="inlineStr">
        <is>
          <t>Concave Backwardation</t>
        </is>
      </c>
      <c r="C60" s="13" t="n">
        <v>0.6468</v>
      </c>
      <c r="D60" s="12" t="n">
        <v>34</v>
      </c>
      <c r="E60" s="12" t="n">
        <v>0.2351</v>
      </c>
      <c r="F60" s="12" t="n">
        <v>21</v>
      </c>
      <c r="G60" s="12" t="n">
        <v>0.238</v>
      </c>
      <c r="H60" s="12" t="inlineStr">
        <is>
          <t>—</t>
        </is>
      </c>
      <c r="I60" s="12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-0.2101</v>
      </c>
      <c r="D61" s="10" t="n">
        <v>2606</v>
      </c>
      <c r="E61" s="10" t="n">
        <v>-0.1188</v>
      </c>
      <c r="F61" s="10" t="n">
        <v>3309</v>
      </c>
      <c r="G61" s="10" t="n">
        <v>-0.676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-0.4587</v>
      </c>
      <c r="D62" s="10" t="n">
        <v>1498</v>
      </c>
      <c r="E62" s="10" t="n">
        <v>0.0132</v>
      </c>
      <c r="F62" s="10" t="n">
        <v>1459</v>
      </c>
      <c r="G62" s="10" t="n">
        <v>-1.118</v>
      </c>
      <c r="H62" s="10" t="inlineStr">
        <is>
          <t>—</t>
        </is>
      </c>
      <c r="I62" s="10" t="inlineStr"/>
    </row>
    <row r="63">
      <c r="A63" s="6" t="inlineStr">
        <is>
          <t>Momentum: MA(20,250)</t>
        </is>
      </c>
      <c r="B63" s="10" t="inlineStr">
        <is>
          <t>Convex Backwardation</t>
        </is>
      </c>
      <c r="C63" s="7" t="n">
        <v>-2.0314</v>
      </c>
      <c r="D63" s="10" t="n">
        <v>50</v>
      </c>
      <c r="E63" s="10" t="n">
        <v>-0.0308</v>
      </c>
      <c r="F63" s="10" t="n">
        <v>53</v>
      </c>
      <c r="G63" s="10" t="n">
        <v>-0.905</v>
      </c>
      <c r="H63" s="10" t="inlineStr">
        <is>
          <t>—</t>
        </is>
      </c>
      <c r="I63" s="10" t="inlineStr"/>
    </row>
    <row r="64">
      <c r="A64" s="11" t="inlineStr">
        <is>
          <t>Momentum: MA(20,250)</t>
        </is>
      </c>
      <c r="B64" s="12" t="inlineStr">
        <is>
          <t>Concave Backwardation</t>
        </is>
      </c>
      <c r="C64" s="13" t="n">
        <v>-1.2802</v>
      </c>
      <c r="D64" s="12" t="n">
        <v>34</v>
      </c>
      <c r="E64" s="12" t="n">
        <v>0.2435</v>
      </c>
      <c r="F64" s="12" t="n">
        <v>21</v>
      </c>
      <c r="G64" s="12" t="n">
        <v>-0.47</v>
      </c>
      <c r="H64" s="12" t="inlineStr">
        <is>
          <t>—</t>
        </is>
      </c>
      <c r="I64" s="12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0.3269</v>
      </c>
      <c r="D65" s="10" t="n">
        <v>2686</v>
      </c>
      <c r="E65" s="10" t="n">
        <v>-0.12</v>
      </c>
      <c r="F65" s="10" t="n">
        <v>3419</v>
      </c>
      <c r="G65" s="10" t="n">
        <v>1.067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-0.4372</v>
      </c>
      <c r="D66" s="10" t="n">
        <v>1518</v>
      </c>
      <c r="E66" s="10" t="n">
        <v>0.0333</v>
      </c>
      <c r="F66" s="10" t="n">
        <v>1420</v>
      </c>
      <c r="G66" s="10" t="n">
        <v>-1.073</v>
      </c>
      <c r="H66" s="10" t="inlineStr">
        <is>
          <t>—</t>
        </is>
      </c>
      <c r="I66" s="10" t="inlineStr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0.0322</v>
      </c>
      <c r="D67" s="10" t="n">
        <v>48</v>
      </c>
      <c r="E67" s="10" t="n">
        <v>-0.0599</v>
      </c>
      <c r="F67" s="10" t="n">
        <v>54</v>
      </c>
      <c r="G67" s="10" t="n">
        <v>0.014</v>
      </c>
      <c r="H67" s="10" t="inlineStr">
        <is>
          <t>—</t>
        </is>
      </c>
      <c r="I67" s="10" t="inlineStr"/>
    </row>
    <row r="68">
      <c r="A68" s="11" t="inlineStr">
        <is>
          <t>Carry: V1 Level</t>
        </is>
      </c>
      <c r="B68" s="12" t="inlineStr">
        <is>
          <t>Concave Backwardation</t>
        </is>
      </c>
      <c r="C68" s="13" t="n">
        <v>0.5926</v>
      </c>
      <c r="D68" s="12" t="n">
        <v>34</v>
      </c>
      <c r="E68" s="12" t="n">
        <v>0.2167</v>
      </c>
      <c r="F68" s="12" t="n">
        <v>22</v>
      </c>
      <c r="G68" s="12" t="n">
        <v>0.218</v>
      </c>
      <c r="H68" s="12" t="inlineStr">
        <is>
          <t>—</t>
        </is>
      </c>
      <c r="I68" s="12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0.3691</v>
      </c>
      <c r="D69" s="10" t="n">
        <v>2606</v>
      </c>
      <c r="E69" s="10" t="n">
        <v>0.0473</v>
      </c>
      <c r="F69" s="10" t="n">
        <v>2371</v>
      </c>
      <c r="G69" s="10" t="n">
        <v>1.187</v>
      </c>
      <c r="H69" s="10" t="inlineStr">
        <is>
          <t>—</t>
        </is>
      </c>
      <c r="I69" s="10" t="inlineStr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0.299</v>
      </c>
      <c r="D70" s="10" t="n">
        <v>1496</v>
      </c>
      <c r="E70" s="10" t="n">
        <v>0.0037</v>
      </c>
      <c r="F70" s="10" t="n">
        <v>1485</v>
      </c>
      <c r="G70" s="10" t="n">
        <v>0.729</v>
      </c>
      <c r="H70" s="10" t="inlineStr">
        <is>
          <t>—</t>
        </is>
      </c>
      <c r="I70" s="10" t="inlineStr"/>
    </row>
    <row r="71">
      <c r="A71" s="6" t="inlineStr">
        <is>
          <t>Carry: V2 Z-score</t>
        </is>
      </c>
      <c r="B71" s="10" t="inlineStr">
        <is>
          <t>Convex Backwardation</t>
        </is>
      </c>
      <c r="C71" s="7" t="n">
        <v>2.6358</v>
      </c>
      <c r="D71" s="10" t="n">
        <v>50</v>
      </c>
      <c r="E71" s="10" t="n">
        <v>0.0018</v>
      </c>
      <c r="F71" s="10" t="n">
        <v>50</v>
      </c>
      <c r="G71" s="10" t="n">
        <v>1.174</v>
      </c>
      <c r="H71" s="10" t="inlineStr">
        <is>
          <t>—</t>
        </is>
      </c>
      <c r="I71" s="10" t="inlineStr"/>
    </row>
    <row r="72">
      <c r="A72" s="11" t="inlineStr">
        <is>
          <t>Carry: V2 Z-score</t>
        </is>
      </c>
      <c r="B72" s="12" t="inlineStr">
        <is>
          <t>Concave Backwardation</t>
        </is>
      </c>
      <c r="C72" s="13" t="n">
        <v>0.3388</v>
      </c>
      <c r="D72" s="12" t="n">
        <v>34</v>
      </c>
      <c r="E72" s="12" t="n">
        <v>0.1578</v>
      </c>
      <c r="F72" s="12" t="n">
        <v>25</v>
      </c>
      <c r="G72" s="12" t="n">
        <v>0.124</v>
      </c>
      <c r="H72" s="12" t="inlineStr">
        <is>
          <t>—</t>
        </is>
      </c>
      <c r="I72" s="12" t="inlineStr">
        <is>
          <t>CAUTION: positive autocorr, effective N materially below nominal N</t>
        </is>
      </c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0.2231</v>
      </c>
      <c r="D73" s="10" t="n">
        <v>2694</v>
      </c>
      <c r="E73" s="10" t="n">
        <v>0.039</v>
      </c>
      <c r="F73" s="10" t="n">
        <v>2492</v>
      </c>
      <c r="G73" s="10" t="n">
        <v>0.729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0.0069</v>
      </c>
      <c r="D74" s="10" t="n">
        <v>1551</v>
      </c>
      <c r="E74" s="10" t="n">
        <v>-0.0382</v>
      </c>
      <c r="F74" s="10" t="n">
        <v>1674</v>
      </c>
      <c r="G74" s="10" t="n">
        <v>0.017</v>
      </c>
      <c r="H74" s="10" t="inlineStr">
        <is>
          <t>—</t>
        </is>
      </c>
      <c r="I74" s="10" t="inlineStr"/>
    </row>
    <row r="75">
      <c r="A75" s="6" t="inlineStr">
        <is>
          <t>Carry: V3 Carry-Mom</t>
        </is>
      </c>
      <c r="B75" s="10" t="inlineStr">
        <is>
          <t>Convex Backwardation</t>
        </is>
      </c>
      <c r="C75" s="7" t="n">
        <v>2.7591</v>
      </c>
      <c r="D75" s="10" t="n">
        <v>50</v>
      </c>
      <c r="E75" s="10" t="n">
        <v>0.0215</v>
      </c>
      <c r="F75" s="10" t="n">
        <v>48</v>
      </c>
      <c r="G75" s="10" t="n">
        <v>1.229</v>
      </c>
      <c r="H75" s="10" t="inlineStr">
        <is>
          <t>—</t>
        </is>
      </c>
      <c r="I75" s="10" t="inlineStr"/>
    </row>
    <row r="76">
      <c r="A76" s="11" t="inlineStr">
        <is>
          <t>Carry: V3 Carry-Mom</t>
        </is>
      </c>
      <c r="B76" s="12" t="inlineStr">
        <is>
          <t>Concave Backwardation</t>
        </is>
      </c>
      <c r="C76" s="13" t="n">
        <v>-4.4677</v>
      </c>
      <c r="D76" s="12" t="n">
        <v>34</v>
      </c>
      <c r="E76" s="12" t="n">
        <v>0.1502</v>
      </c>
      <c r="F76" s="12" t="n">
        <v>25</v>
      </c>
      <c r="G76" s="12" t="n">
        <v>-1.641</v>
      </c>
      <c r="H76" s="12" t="inlineStr">
        <is>
          <t>—</t>
        </is>
      </c>
      <c r="I76" s="12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1.525</v>
      </c>
      <c r="D77" s="10" t="n">
        <v>114</v>
      </c>
      <c r="E77" s="10" t="n">
        <v>-0.136</v>
      </c>
      <c r="F77" s="10" t="n">
        <v>150</v>
      </c>
      <c r="G77" s="10" t="n">
        <v>1.026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10" t="n"/>
      <c r="D78" s="10" t="n">
        <v>0</v>
      </c>
      <c r="E78" s="10" t="n"/>
      <c r="F78" s="10" t="n"/>
      <c r="G78" s="10" t="n"/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10" t="n"/>
      <c r="D79" s="10" t="n">
        <v>0</v>
      </c>
      <c r="E79" s="10" t="n"/>
      <c r="F79" s="10" t="n"/>
      <c r="G79" s="10" t="n"/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10" t="n"/>
      <c r="D80" s="10" t="n">
        <v>0</v>
      </c>
      <c r="E80" s="10" t="n"/>
      <c r="F80" s="10" t="n"/>
      <c r="G80" s="10" t="n"/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Palladium</t>
        </is>
      </c>
    </row>
    <row r="2">
      <c r="A2" s="2" t="inlineStr">
        <is>
          <t>Ticker: PA  |  NYMEX, Precious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-0.203</v>
      </c>
      <c r="C7" s="7" t="n">
        <v>-0.2531</v>
      </c>
      <c r="D7" s="7" t="n">
        <v>-0.2171</v>
      </c>
      <c r="G7" s="8" t="inlineStr">
        <is>
          <t>Low</t>
        </is>
      </c>
      <c r="H7" s="9" t="n">
        <v>25.94</v>
      </c>
      <c r="I7" s="10" t="n">
        <v>1270</v>
      </c>
    </row>
    <row r="8">
      <c r="A8" s="6" t="inlineStr">
        <is>
          <t>Momentum: MA(5,60)</t>
        </is>
      </c>
      <c r="B8" s="7" t="n">
        <v>-0.6485</v>
      </c>
      <c r="C8" s="7" t="n">
        <v>0.0008</v>
      </c>
      <c r="D8" s="7" t="n">
        <v>-0.2697</v>
      </c>
      <c r="G8" s="8" t="inlineStr">
        <is>
          <t>Medium</t>
        </is>
      </c>
      <c r="H8" s="9" t="n">
        <v>26.95</v>
      </c>
      <c r="I8" s="10" t="n">
        <v>1319</v>
      </c>
    </row>
    <row r="9">
      <c r="A9" s="6" t="inlineStr">
        <is>
          <t>Momentum: MA(20,250)</t>
        </is>
      </c>
      <c r="B9" s="7" t="n">
        <v>0.5052</v>
      </c>
      <c r="C9" s="7" t="n">
        <v>0.4606</v>
      </c>
      <c r="D9" s="7" t="n">
        <v>0.0674</v>
      </c>
      <c r="G9" s="8" t="inlineStr">
        <is>
          <t>High</t>
        </is>
      </c>
      <c r="H9" s="9" t="n">
        <v>47.11</v>
      </c>
      <c r="I9" s="10" t="n">
        <v>2306</v>
      </c>
    </row>
    <row r="10">
      <c r="A10" s="6" t="inlineStr">
        <is>
          <t>Carry: V1 Level</t>
        </is>
      </c>
      <c r="B10" s="7" t="n">
        <v>-0.0147</v>
      </c>
      <c r="C10" s="7" t="n">
        <v>0.8632</v>
      </c>
      <c r="D10" s="7" t="n">
        <v>0.1466</v>
      </c>
    </row>
    <row r="11">
      <c r="A11" s="6" t="inlineStr">
        <is>
          <t>Carry: V2 Z-score</t>
        </is>
      </c>
      <c r="B11" s="7" t="n">
        <v>-1.0806</v>
      </c>
      <c r="C11" s="7" t="n">
        <v>-0.2302</v>
      </c>
      <c r="D11" s="7" t="n">
        <v>-0.3406</v>
      </c>
    </row>
    <row r="12">
      <c r="A12" s="6" t="inlineStr">
        <is>
          <t>Carry: V3 Carry-Mom</t>
        </is>
      </c>
      <c r="B12" s="7" t="n">
        <v>-0.9132</v>
      </c>
      <c r="C12" s="7" t="n">
        <v>-0.3307</v>
      </c>
      <c r="D12" s="7" t="n">
        <v>-0.1032</v>
      </c>
    </row>
    <row r="13">
      <c r="A13" s="6" t="inlineStr">
        <is>
          <t>Value: F8 5yr +/-10%</t>
        </is>
      </c>
      <c r="B13" s="7" t="n"/>
      <c r="C13" s="7" t="n">
        <v>9.4124</v>
      </c>
      <c r="D13" s="7" t="n">
        <v>1.1386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11" t="inlineStr">
        <is>
          <t>Momentum: MA(1,20)</t>
        </is>
      </c>
      <c r="B17" s="12" t="inlineStr">
        <is>
          <t>Low</t>
        </is>
      </c>
      <c r="C17" s="13" t="n">
        <v>-0.203</v>
      </c>
      <c r="D17" s="12" t="n">
        <v>1270</v>
      </c>
      <c r="E17" s="12" t="n">
        <v>0.1148</v>
      </c>
      <c r="F17" s="12" t="n">
        <v>1008</v>
      </c>
      <c r="G17" s="12" t="n">
        <v>-0.456</v>
      </c>
      <c r="H17" s="12" t="inlineStr">
        <is>
          <t>—</t>
        </is>
      </c>
      <c r="I17" s="12" t="inlineStr">
        <is>
          <t>CAUTION: positive autocorr, effective N materially below nominal N</t>
        </is>
      </c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-0.2531</v>
      </c>
      <c r="D18" s="10" t="n">
        <v>1319</v>
      </c>
      <c r="E18" s="10" t="n">
        <v>-0.0428</v>
      </c>
      <c r="F18" s="10" t="n">
        <v>1437</v>
      </c>
      <c r="G18" s="10" t="n">
        <v>-0.579</v>
      </c>
      <c r="H18" s="10" t="inlineStr">
        <is>
          <t>—</t>
        </is>
      </c>
      <c r="I18" s="10" t="inlineStr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-0.2171</v>
      </c>
      <c r="D19" s="10" t="n">
        <v>2306</v>
      </c>
      <c r="E19" s="10" t="n">
        <v>0.0271</v>
      </c>
      <c r="F19" s="10" t="n">
        <v>2184</v>
      </c>
      <c r="G19" s="10" t="n">
        <v>-0.657</v>
      </c>
      <c r="H19" s="10" t="inlineStr">
        <is>
          <t>—</t>
        </is>
      </c>
      <c r="I19" s="10" t="inlineStr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-0.6485</v>
      </c>
      <c r="D20" s="10" t="n">
        <v>1270</v>
      </c>
      <c r="E20" s="10" t="n">
        <v>0.0377</v>
      </c>
      <c r="F20" s="10" t="n">
        <v>1178</v>
      </c>
      <c r="G20" s="10" t="n">
        <v>-1.456</v>
      </c>
      <c r="H20" s="10" t="inlineStr">
        <is>
          <t>—</t>
        </is>
      </c>
      <c r="I20" s="10" t="inlineStr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0.0008</v>
      </c>
      <c r="D21" s="10" t="n">
        <v>1319</v>
      </c>
      <c r="E21" s="10" t="n">
        <v>-0.0189</v>
      </c>
      <c r="F21" s="10" t="n">
        <v>1370</v>
      </c>
      <c r="G21" s="10" t="n">
        <v>0.002</v>
      </c>
      <c r="H21" s="10" t="inlineStr">
        <is>
          <t>—</t>
        </is>
      </c>
      <c r="I21" s="10" t="inlineStr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-0.2697</v>
      </c>
      <c r="D22" s="10" t="n">
        <v>2306</v>
      </c>
      <c r="E22" s="10" t="n">
        <v>0.0301</v>
      </c>
      <c r="F22" s="10" t="n">
        <v>2171</v>
      </c>
      <c r="G22" s="10" t="n">
        <v>-0.8159999999999999</v>
      </c>
      <c r="H22" s="10" t="inlineStr">
        <is>
          <t>—</t>
        </is>
      </c>
      <c r="I22" s="10" t="inlineStr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0.5052</v>
      </c>
      <c r="D23" s="10" t="n">
        <v>1270</v>
      </c>
      <c r="E23" s="10" t="n">
        <v>0.0675</v>
      </c>
      <c r="F23" s="10" t="n">
        <v>1109</v>
      </c>
      <c r="G23" s="10" t="n">
        <v>1.134</v>
      </c>
      <c r="H23" s="10" t="inlineStr">
        <is>
          <t>—</t>
        </is>
      </c>
      <c r="I23" s="10" t="inlineStr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0.4606</v>
      </c>
      <c r="D24" s="10" t="n">
        <v>1319</v>
      </c>
      <c r="E24" s="10" t="n">
        <v>-0.0023</v>
      </c>
      <c r="F24" s="10" t="n">
        <v>1325</v>
      </c>
      <c r="G24" s="10" t="n">
        <v>1.054</v>
      </c>
      <c r="H24" s="10" t="inlineStr">
        <is>
          <t>—</t>
        </is>
      </c>
      <c r="I24" s="10" t="inlineStr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0.0674</v>
      </c>
      <c r="D25" s="10" t="n">
        <v>2306</v>
      </c>
      <c r="E25" s="10" t="n">
        <v>0.0507</v>
      </c>
      <c r="F25" s="10" t="n">
        <v>2084</v>
      </c>
      <c r="G25" s="10" t="n">
        <v>0.204</v>
      </c>
      <c r="H25" s="10" t="inlineStr">
        <is>
          <t>—</t>
        </is>
      </c>
      <c r="I25" s="10" t="inlineStr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-0.0147</v>
      </c>
      <c r="D26" s="10" t="n">
        <v>1261</v>
      </c>
      <c r="E26" s="10" t="n">
        <v>0.0585</v>
      </c>
      <c r="F26" s="10" t="n">
        <v>1122</v>
      </c>
      <c r="G26" s="10" t="n">
        <v>-0.033</v>
      </c>
      <c r="H26" s="10" t="inlineStr">
        <is>
          <t>—</t>
        </is>
      </c>
      <c r="I26" s="10" t="inlineStr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0.8632</v>
      </c>
      <c r="D27" s="10" t="n">
        <v>1300</v>
      </c>
      <c r="E27" s="10" t="n">
        <v>-0.0157</v>
      </c>
      <c r="F27" s="10" t="n">
        <v>1341</v>
      </c>
      <c r="G27" s="10" t="n">
        <v>1.961</v>
      </c>
      <c r="H27" s="10" t="inlineStr">
        <is>
          <t>—</t>
        </is>
      </c>
      <c r="I27" s="10" t="inlineStr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0.1466</v>
      </c>
      <c r="D28" s="10" t="n">
        <v>2285</v>
      </c>
      <c r="E28" s="10" t="n">
        <v>0.0373</v>
      </c>
      <c r="F28" s="10" t="n">
        <v>2121</v>
      </c>
      <c r="G28" s="10" t="n">
        <v>0.441</v>
      </c>
      <c r="H28" s="10" t="inlineStr">
        <is>
          <t>—</t>
        </is>
      </c>
      <c r="I28" s="10" t="inlineStr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-1.0806</v>
      </c>
      <c r="D29" s="10" t="n">
        <v>1270</v>
      </c>
      <c r="E29" s="10" t="n">
        <v>0.07779999999999999</v>
      </c>
      <c r="F29" s="10" t="n">
        <v>1087</v>
      </c>
      <c r="G29" s="10" t="n">
        <v>-2.426</v>
      </c>
      <c r="H29" s="10" t="inlineStr">
        <is>
          <t>—</t>
        </is>
      </c>
      <c r="I29" s="10" t="inlineStr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-0.2302</v>
      </c>
      <c r="D30" s="10" t="n">
        <v>1319</v>
      </c>
      <c r="E30" s="10" t="n">
        <v>-0.0035</v>
      </c>
      <c r="F30" s="10" t="n">
        <v>1328</v>
      </c>
      <c r="G30" s="10" t="n">
        <v>-0.527</v>
      </c>
      <c r="H30" s="10" t="inlineStr">
        <is>
          <t>—</t>
        </is>
      </c>
      <c r="I30" s="10" t="inlineStr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-0.3406</v>
      </c>
      <c r="D31" s="10" t="n">
        <v>2306</v>
      </c>
      <c r="E31" s="10" t="n">
        <v>0.0266</v>
      </c>
      <c r="F31" s="10" t="n">
        <v>2187</v>
      </c>
      <c r="G31" s="10" t="n">
        <v>-1.03</v>
      </c>
      <c r="H31" s="10" t="inlineStr">
        <is>
          <t>—</t>
        </is>
      </c>
      <c r="I31" s="10" t="inlineStr"/>
    </row>
    <row r="32">
      <c r="A32" s="11" t="inlineStr">
        <is>
          <t>Carry: V3 Carry-Mom</t>
        </is>
      </c>
      <c r="B32" s="12" t="inlineStr">
        <is>
          <t>Low</t>
        </is>
      </c>
      <c r="C32" s="13" t="n">
        <v>-0.9132</v>
      </c>
      <c r="D32" s="12" t="n">
        <v>1270</v>
      </c>
      <c r="E32" s="12" t="n">
        <v>0.1171</v>
      </c>
      <c r="F32" s="12" t="n">
        <v>1004</v>
      </c>
      <c r="G32" s="12" t="n">
        <v>-2.05</v>
      </c>
      <c r="H32" s="12" t="inlineStr">
        <is>
          <t>—</t>
        </is>
      </c>
      <c r="I32" s="12" t="inlineStr">
        <is>
          <t>CAUTION: positive autocorr, effective N materially below nominal N</t>
        </is>
      </c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-0.3307</v>
      </c>
      <c r="D33" s="10" t="n">
        <v>1319</v>
      </c>
      <c r="E33" s="10" t="n">
        <v>-0.0114</v>
      </c>
      <c r="F33" s="10" t="n">
        <v>1350</v>
      </c>
      <c r="G33" s="10" t="n">
        <v>-0.757</v>
      </c>
      <c r="H33" s="10" t="inlineStr">
        <is>
          <t>—</t>
        </is>
      </c>
      <c r="I33" s="10" t="inlineStr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-0.1032</v>
      </c>
      <c r="D34" s="10" t="n">
        <v>2306</v>
      </c>
      <c r="E34" s="10" t="n">
        <v>0.0244</v>
      </c>
      <c r="F34" s="10" t="n">
        <v>2196</v>
      </c>
      <c r="G34" s="10" t="n">
        <v>-0.312</v>
      </c>
      <c r="H34" s="10" t="inlineStr">
        <is>
          <t>—</t>
        </is>
      </c>
      <c r="I34" s="10" t="inlineStr"/>
    </row>
    <row r="35">
      <c r="A35" s="6" t="inlineStr">
        <is>
          <t>Value: F8 5yr +/-10%</t>
        </is>
      </c>
      <c r="B35" s="10" t="inlineStr">
        <is>
          <t>Low</t>
        </is>
      </c>
      <c r="C35" s="10" t="n"/>
      <c r="D35" s="10" t="n">
        <v>0</v>
      </c>
      <c r="E35" s="10" t="n"/>
      <c r="F35" s="10" t="n"/>
      <c r="G35" s="10" t="n"/>
      <c r="H35" s="10" t="inlineStr">
        <is>
          <t>—</t>
        </is>
      </c>
      <c r="I35" s="10" t="inlineStr"/>
    </row>
    <row r="36">
      <c r="A36" s="14" t="inlineStr">
        <is>
          <t>Value: F8 5yr +/-10%</t>
        </is>
      </c>
      <c r="B36" s="15" t="inlineStr">
        <is>
          <t>Medium</t>
        </is>
      </c>
      <c r="C36" s="16" t="n">
        <v>9.4124</v>
      </c>
      <c r="D36" s="15" t="n">
        <v>28</v>
      </c>
      <c r="E36" s="15" t="n">
        <v>-0.2496</v>
      </c>
      <c r="F36" s="15" t="n">
        <v>47</v>
      </c>
      <c r="G36" s="15" t="n">
        <v>3.137</v>
      </c>
      <c r="H36" s="15" t="inlineStr">
        <is>
          <t>SIGNIFICANT</t>
        </is>
      </c>
      <c r="I36" s="15" t="inlineStr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1.1386</v>
      </c>
      <c r="D37" s="10" t="n">
        <v>77</v>
      </c>
      <c r="E37" s="10" t="n">
        <v>-0.2841</v>
      </c>
      <c r="F37" s="10" t="n">
        <v>138</v>
      </c>
      <c r="G37" s="10" t="n">
        <v>0.629</v>
      </c>
      <c r="H37" s="10" t="inlineStr">
        <is>
          <t>—</t>
        </is>
      </c>
      <c r="I37" s="10" t="inlineStr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-0.4078</v>
      </c>
      <c r="C43" s="7" t="n">
        <v>-0.4745</v>
      </c>
      <c r="D43" s="7" t="n">
        <v>-0.2739</v>
      </c>
      <c r="E43" s="7" t="n">
        <v>0.6645</v>
      </c>
      <c r="H43" s="8" t="inlineStr">
        <is>
          <t>Concave Contango</t>
        </is>
      </c>
      <c r="I43" s="9" t="n">
        <v>52.33</v>
      </c>
      <c r="J43" s="10" t="n">
        <v>2344</v>
      </c>
    </row>
    <row r="44">
      <c r="A44" s="6" t="inlineStr">
        <is>
          <t>Momentum: MA(5,60)</t>
        </is>
      </c>
      <c r="B44" s="7" t="n">
        <v>-0.3089</v>
      </c>
      <c r="C44" s="7" t="n">
        <v>-0.2834</v>
      </c>
      <c r="D44" s="7" t="n">
        <v>-0.8559</v>
      </c>
      <c r="E44" s="7" t="n">
        <v>0.1955</v>
      </c>
      <c r="H44" s="8" t="inlineStr">
        <is>
          <t>Convex Contango</t>
        </is>
      </c>
      <c r="I44" s="9" t="n">
        <v>24.05</v>
      </c>
      <c r="J44" s="10" t="n">
        <v>1077</v>
      </c>
    </row>
    <row r="45">
      <c r="A45" s="6" t="inlineStr">
        <is>
          <t>Momentum: MA(20,250)</t>
        </is>
      </c>
      <c r="B45" s="7" t="n">
        <v>0.0273</v>
      </c>
      <c r="C45" s="7" t="n">
        <v>0.4219</v>
      </c>
      <c r="D45" s="7" t="n">
        <v>-0.4105</v>
      </c>
      <c r="E45" s="7" t="n">
        <v>0.9963</v>
      </c>
      <c r="H45" s="8" t="inlineStr">
        <is>
          <t>Convex Backwardation</t>
        </is>
      </c>
      <c r="I45" s="9" t="n">
        <v>10.43</v>
      </c>
      <c r="J45" s="10" t="n">
        <v>467</v>
      </c>
    </row>
    <row r="46">
      <c r="A46" s="6" t="inlineStr">
        <is>
          <t>Carry: V1 Level</t>
        </is>
      </c>
      <c r="B46" s="7" t="n">
        <v>0.2356</v>
      </c>
      <c r="C46" s="7" t="n">
        <v>0.0586</v>
      </c>
      <c r="D46" s="7" t="n">
        <v>0.488</v>
      </c>
      <c r="E46" s="7" t="n">
        <v>0.3016</v>
      </c>
      <c r="H46" s="8" t="inlineStr">
        <is>
          <t>Concave Backwardation</t>
        </is>
      </c>
      <c r="I46" s="9" t="n">
        <v>13.19</v>
      </c>
      <c r="J46" s="10" t="n">
        <v>591</v>
      </c>
    </row>
    <row r="47">
      <c r="A47" s="6" t="inlineStr">
        <is>
          <t>Carry: V2 Z-score</t>
        </is>
      </c>
      <c r="B47" s="7" t="n">
        <v>-0.3321</v>
      </c>
      <c r="C47" s="7" t="n">
        <v>-0.5121</v>
      </c>
      <c r="D47" s="7" t="n">
        <v>-0.3545</v>
      </c>
      <c r="E47" s="7" t="n">
        <v>-0.7251</v>
      </c>
    </row>
    <row r="48">
      <c r="A48" s="6" t="inlineStr">
        <is>
          <t>Carry: V3 Carry-Mom</t>
        </is>
      </c>
      <c r="B48" s="7" t="n">
        <v>-0.2925</v>
      </c>
      <c r="C48" s="7" t="n">
        <v>-0.7221</v>
      </c>
      <c r="D48" s="7" t="n">
        <v>0.0551</v>
      </c>
      <c r="E48" s="7" t="n">
        <v>-0.1319</v>
      </c>
    </row>
    <row r="49">
      <c r="A49" s="6" t="inlineStr">
        <is>
          <t>Value: F8 5yr +/-10%</t>
        </is>
      </c>
      <c r="B49" s="7" t="n">
        <v>1.865</v>
      </c>
      <c r="C49" s="7" t="n"/>
      <c r="D49" s="7" t="n"/>
      <c r="E49" s="7" t="n"/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-0.4078</v>
      </c>
      <c r="D53" s="10" t="n">
        <v>2344</v>
      </c>
      <c r="E53" s="10" t="n">
        <v>-0.0891</v>
      </c>
      <c r="F53" s="10" t="n">
        <v>2802</v>
      </c>
      <c r="G53" s="10" t="n">
        <v>-1.244</v>
      </c>
      <c r="H53" s="10" t="inlineStr">
        <is>
          <t>—</t>
        </is>
      </c>
      <c r="I53" s="10" t="inlineStr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-0.4745</v>
      </c>
      <c r="D54" s="10" t="n">
        <v>1077</v>
      </c>
      <c r="E54" s="10" t="n">
        <v>0.0255</v>
      </c>
      <c r="F54" s="10" t="n">
        <v>1024</v>
      </c>
      <c r="G54" s="10" t="n">
        <v>-0.981</v>
      </c>
      <c r="H54" s="10" t="inlineStr">
        <is>
          <t>—</t>
        </is>
      </c>
      <c r="I54" s="10" t="inlineStr"/>
    </row>
    <row r="55">
      <c r="A55" s="11" t="inlineStr">
        <is>
          <t>Momentum: MA(1,20)</t>
        </is>
      </c>
      <c r="B55" s="12" t="inlineStr">
        <is>
          <t>Convex Backwardation</t>
        </is>
      </c>
      <c r="C55" s="13" t="n">
        <v>-0.2739</v>
      </c>
      <c r="D55" s="12" t="n">
        <v>467</v>
      </c>
      <c r="E55" s="12" t="n">
        <v>0.2583</v>
      </c>
      <c r="F55" s="12" t="n">
        <v>275</v>
      </c>
      <c r="G55" s="12" t="n">
        <v>-0.373</v>
      </c>
      <c r="H55" s="12" t="inlineStr">
        <is>
          <t>—</t>
        </is>
      </c>
      <c r="I55" s="12" t="inlineStr">
        <is>
          <t>CAUTION: positive autocorr, effective N materially below nominal N</t>
        </is>
      </c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0.6645</v>
      </c>
      <c r="D56" s="10" t="n">
        <v>591</v>
      </c>
      <c r="E56" s="10" t="n">
        <v>-0.0566</v>
      </c>
      <c r="F56" s="10" t="n">
        <v>662</v>
      </c>
      <c r="G56" s="10" t="n">
        <v>1.018</v>
      </c>
      <c r="H56" s="10" t="inlineStr">
        <is>
          <t>—</t>
        </is>
      </c>
      <c r="I56" s="10" t="inlineStr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-0.3089</v>
      </c>
      <c r="D57" s="10" t="n">
        <v>2344</v>
      </c>
      <c r="E57" s="10" t="n">
        <v>-0.1058</v>
      </c>
      <c r="F57" s="10" t="n">
        <v>2899</v>
      </c>
      <c r="G57" s="10" t="n">
        <v>-0.9419999999999999</v>
      </c>
      <c r="H57" s="10" t="inlineStr">
        <is>
          <t>—</t>
        </is>
      </c>
      <c r="I57" s="10" t="inlineStr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-0.2834</v>
      </c>
      <c r="D58" s="10" t="n">
        <v>1077</v>
      </c>
      <c r="E58" s="10" t="n">
        <v>0.0635</v>
      </c>
      <c r="F58" s="10" t="n">
        <v>948</v>
      </c>
      <c r="G58" s="10" t="n">
        <v>-0.586</v>
      </c>
      <c r="H58" s="10" t="inlineStr">
        <is>
          <t>—</t>
        </is>
      </c>
      <c r="I58" s="10" t="inlineStr"/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-0.8559</v>
      </c>
      <c r="D59" s="12" t="n">
        <v>467</v>
      </c>
      <c r="E59" s="12" t="n">
        <v>0.2613</v>
      </c>
      <c r="F59" s="12" t="n">
        <v>274</v>
      </c>
      <c r="G59" s="12" t="n">
        <v>-1.165</v>
      </c>
      <c r="H59" s="12" t="inlineStr">
        <is>
          <t>—</t>
        </is>
      </c>
      <c r="I59" s="12" t="inlineStr">
        <is>
          <t>CAUTION: positive autocorr, effective N materially below nominal N</t>
        </is>
      </c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0.1955</v>
      </c>
      <c r="D60" s="10" t="n">
        <v>591</v>
      </c>
      <c r="E60" s="10" t="n">
        <v>-0.0266</v>
      </c>
      <c r="F60" s="10" t="n">
        <v>623</v>
      </c>
      <c r="G60" s="10" t="n">
        <v>0.299</v>
      </c>
      <c r="H60" s="10" t="inlineStr">
        <is>
          <t>—</t>
        </is>
      </c>
      <c r="I60" s="10" t="inlineStr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0.0273</v>
      </c>
      <c r="D61" s="10" t="n">
        <v>2337</v>
      </c>
      <c r="E61" s="10" t="n">
        <v>-0.07489999999999999</v>
      </c>
      <c r="F61" s="10" t="n">
        <v>2715</v>
      </c>
      <c r="G61" s="10" t="n">
        <v>0.083</v>
      </c>
      <c r="H61" s="10" t="inlineStr">
        <is>
          <t>—</t>
        </is>
      </c>
      <c r="I61" s="10" t="inlineStr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0.4219</v>
      </c>
      <c r="D62" s="10" t="n">
        <v>938</v>
      </c>
      <c r="E62" s="10" t="n">
        <v>0.0175</v>
      </c>
      <c r="F62" s="10" t="n">
        <v>906</v>
      </c>
      <c r="G62" s="10" t="n">
        <v>0.8139999999999999</v>
      </c>
      <c r="H62" s="10" t="inlineStr">
        <is>
          <t>—</t>
        </is>
      </c>
      <c r="I62" s="10" t="inlineStr"/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-0.4105</v>
      </c>
      <c r="D63" s="12" t="n">
        <v>467</v>
      </c>
      <c r="E63" s="12" t="n">
        <v>0.2944</v>
      </c>
      <c r="F63" s="12" t="n">
        <v>255</v>
      </c>
      <c r="G63" s="12" t="n">
        <v>-0.5590000000000001</v>
      </c>
      <c r="H63" s="12" t="inlineStr">
        <is>
          <t>—</t>
        </is>
      </c>
      <c r="I63" s="12" t="inlineStr">
        <is>
          <t>CAUTION: positive autocorr, effective N materially below nominal N</t>
        </is>
      </c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0.9963</v>
      </c>
      <c r="D64" s="10" t="n">
        <v>591</v>
      </c>
      <c r="E64" s="10" t="n">
        <v>-0.0284</v>
      </c>
      <c r="F64" s="10" t="n">
        <v>626</v>
      </c>
      <c r="G64" s="10" t="n">
        <v>1.526</v>
      </c>
      <c r="H64" s="10" t="inlineStr">
        <is>
          <t>—</t>
        </is>
      </c>
      <c r="I64" s="10" t="inlineStr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0.2356</v>
      </c>
      <c r="D65" s="10" t="n">
        <v>2320</v>
      </c>
      <c r="E65" s="10" t="n">
        <v>-0.0701</v>
      </c>
      <c r="F65" s="10" t="n">
        <v>2670</v>
      </c>
      <c r="G65" s="10" t="n">
        <v>0.715</v>
      </c>
      <c r="H65" s="10" t="inlineStr">
        <is>
          <t>—</t>
        </is>
      </c>
      <c r="I65" s="10" t="inlineStr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0.0586</v>
      </c>
      <c r="D66" s="10" t="n">
        <v>1057</v>
      </c>
      <c r="E66" s="10" t="n">
        <v>0.0538</v>
      </c>
      <c r="F66" s="10" t="n">
        <v>949</v>
      </c>
      <c r="G66" s="10" t="n">
        <v>0.12</v>
      </c>
      <c r="H66" s="10" t="inlineStr">
        <is>
          <t>—</t>
        </is>
      </c>
      <c r="I66" s="10" t="inlineStr"/>
    </row>
    <row r="67">
      <c r="A67" s="11" t="inlineStr">
        <is>
          <t>Carry: V1 Level</t>
        </is>
      </c>
      <c r="B67" s="12" t="inlineStr">
        <is>
          <t>Convex Backwardation</t>
        </is>
      </c>
      <c r="C67" s="13" t="n">
        <v>0.488</v>
      </c>
      <c r="D67" s="12" t="n">
        <v>464</v>
      </c>
      <c r="E67" s="12" t="n">
        <v>0.2649</v>
      </c>
      <c r="F67" s="12" t="n">
        <v>270</v>
      </c>
      <c r="G67" s="12" t="n">
        <v>0.662</v>
      </c>
      <c r="H67" s="12" t="inlineStr">
        <is>
          <t>—</t>
        </is>
      </c>
      <c r="I67" s="12" t="inlineStr">
        <is>
          <t>CAUTION: positive autocorr, effective N materially below nominal N</t>
        </is>
      </c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0.3016</v>
      </c>
      <c r="D68" s="10" t="n">
        <v>591</v>
      </c>
      <c r="E68" s="10" t="n">
        <v>-0.0515</v>
      </c>
      <c r="F68" s="10" t="n">
        <v>655</v>
      </c>
      <c r="G68" s="10" t="n">
        <v>0.462</v>
      </c>
      <c r="H68" s="10" t="inlineStr">
        <is>
          <t>—</t>
        </is>
      </c>
      <c r="I68" s="10" t="inlineStr"/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-0.3321</v>
      </c>
      <c r="D69" s="10" t="n">
        <v>2337</v>
      </c>
      <c r="E69" s="10" t="n">
        <v>-0.0921</v>
      </c>
      <c r="F69" s="10" t="n">
        <v>2811</v>
      </c>
      <c r="G69" s="10" t="n">
        <v>-1.011</v>
      </c>
      <c r="H69" s="10" t="inlineStr">
        <is>
          <t>—</t>
        </is>
      </c>
      <c r="I69" s="10" t="inlineStr"/>
    </row>
    <row r="70">
      <c r="A70" s="11" t="inlineStr">
        <is>
          <t>Carry: V2 Z-score</t>
        </is>
      </c>
      <c r="B70" s="12" t="inlineStr">
        <is>
          <t>Convex Contango</t>
        </is>
      </c>
      <c r="C70" s="13" t="n">
        <v>-0.5121</v>
      </c>
      <c r="D70" s="12" t="n">
        <v>938</v>
      </c>
      <c r="E70" s="12" t="n">
        <v>0.0935</v>
      </c>
      <c r="F70" s="12" t="n">
        <v>778</v>
      </c>
      <c r="G70" s="12" t="n">
        <v>-0.988</v>
      </c>
      <c r="H70" s="12" t="inlineStr">
        <is>
          <t>—</t>
        </is>
      </c>
      <c r="I70" s="12" t="inlineStr">
        <is>
          <t>CAUTION: positive autocorr, effective N materially below nominal N</t>
        </is>
      </c>
    </row>
    <row r="71">
      <c r="A71" s="11" t="inlineStr">
        <is>
          <t>Carry: V2 Z-score</t>
        </is>
      </c>
      <c r="B71" s="12" t="inlineStr">
        <is>
          <t>Convex Backwardation</t>
        </is>
      </c>
      <c r="C71" s="13" t="n">
        <v>-0.3545</v>
      </c>
      <c r="D71" s="12" t="n">
        <v>467</v>
      </c>
      <c r="E71" s="12" t="n">
        <v>0.1889</v>
      </c>
      <c r="F71" s="12" t="n">
        <v>319</v>
      </c>
      <c r="G71" s="12" t="n">
        <v>-0.483</v>
      </c>
      <c r="H71" s="12" t="inlineStr">
        <is>
          <t>—</t>
        </is>
      </c>
      <c r="I71" s="12" t="inlineStr">
        <is>
          <t>CAUTION: positive autocorr, effective N materially below nominal N</t>
        </is>
      </c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-0.7251</v>
      </c>
      <c r="D72" s="10" t="n">
        <v>591</v>
      </c>
      <c r="E72" s="10" t="n">
        <v>-0.0457</v>
      </c>
      <c r="F72" s="10" t="n">
        <v>648</v>
      </c>
      <c r="G72" s="10" t="n">
        <v>-1.11</v>
      </c>
      <c r="H72" s="10" t="inlineStr">
        <is>
          <t>—</t>
        </is>
      </c>
      <c r="I72" s="10" t="inlineStr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-0.2925</v>
      </c>
      <c r="D73" s="10" t="n">
        <v>2344</v>
      </c>
      <c r="E73" s="10" t="n">
        <v>-0.07389999999999999</v>
      </c>
      <c r="F73" s="10" t="n">
        <v>2718</v>
      </c>
      <c r="G73" s="10" t="n">
        <v>-0.892</v>
      </c>
      <c r="H73" s="10" t="inlineStr">
        <is>
          <t>—</t>
        </is>
      </c>
      <c r="I73" s="10" t="inlineStr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-0.7221</v>
      </c>
      <c r="D74" s="10" t="n">
        <v>1077</v>
      </c>
      <c r="E74" s="10" t="n">
        <v>0.0539</v>
      </c>
      <c r="F74" s="10" t="n">
        <v>967</v>
      </c>
      <c r="G74" s="10" t="n">
        <v>-1.493</v>
      </c>
      <c r="H74" s="10" t="inlineStr">
        <is>
          <t>—</t>
        </is>
      </c>
      <c r="I74" s="10" t="inlineStr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0.0551</v>
      </c>
      <c r="D75" s="12" t="n">
        <v>467</v>
      </c>
      <c r="E75" s="12" t="n">
        <v>0.2623</v>
      </c>
      <c r="F75" s="12" t="n">
        <v>273</v>
      </c>
      <c r="G75" s="12" t="n">
        <v>0.075</v>
      </c>
      <c r="H75" s="12" t="inlineStr">
        <is>
          <t>—</t>
        </is>
      </c>
      <c r="I75" s="12" t="inlineStr">
        <is>
          <t>CAUTION: positive autocorr, effective N materially below nominal N</t>
        </is>
      </c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-0.1319</v>
      </c>
      <c r="D76" s="10" t="n">
        <v>591</v>
      </c>
      <c r="E76" s="10" t="n">
        <v>-0.0391</v>
      </c>
      <c r="F76" s="10" t="n">
        <v>639</v>
      </c>
      <c r="G76" s="10" t="n">
        <v>-0.202</v>
      </c>
      <c r="H76" s="10" t="inlineStr">
        <is>
          <t>—</t>
        </is>
      </c>
      <c r="I76" s="10" t="inlineStr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1.865</v>
      </c>
      <c r="D77" s="10" t="n">
        <v>100</v>
      </c>
      <c r="E77" s="10" t="n">
        <v>-0.2798</v>
      </c>
      <c r="F77" s="10" t="n">
        <v>178</v>
      </c>
      <c r="G77" s="10" t="n">
        <v>1.175</v>
      </c>
      <c r="H77" s="10" t="inlineStr">
        <is>
          <t>—</t>
        </is>
      </c>
      <c r="I77" s="10" t="inlineStr"/>
    </row>
    <row r="78">
      <c r="A78" s="6" t="inlineStr">
        <is>
          <t>Value: F8 5yr +/-10%</t>
        </is>
      </c>
      <c r="B78" s="10" t="inlineStr">
        <is>
          <t>Convex Contango</t>
        </is>
      </c>
      <c r="C78" s="10" t="n"/>
      <c r="D78" s="10" t="n">
        <v>5</v>
      </c>
      <c r="E78" s="10" t="n"/>
      <c r="F78" s="10" t="n"/>
      <c r="G78" s="10" t="n"/>
      <c r="H78" s="10" t="inlineStr">
        <is>
          <t>—</t>
        </is>
      </c>
      <c r="I78" s="10" t="inlineStr"/>
    </row>
    <row r="79">
      <c r="A79" s="6" t="inlineStr">
        <is>
          <t>Value: F8 5yr +/-10%</t>
        </is>
      </c>
      <c r="B79" s="10" t="inlineStr">
        <is>
          <t>Convex Backwardation</t>
        </is>
      </c>
      <c r="C79" s="10" t="n"/>
      <c r="D79" s="10" t="n">
        <v>0</v>
      </c>
      <c r="E79" s="10" t="n"/>
      <c r="F79" s="10" t="n"/>
      <c r="G79" s="10" t="n"/>
      <c r="H79" s="10" t="inlineStr">
        <is>
          <t>—</t>
        </is>
      </c>
      <c r="I79" s="10" t="inlineStr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10" t="n"/>
      <c r="D80" s="10" t="n">
        <v>0</v>
      </c>
      <c r="E80" s="10" t="n"/>
      <c r="F80" s="10" t="n"/>
      <c r="G80" s="10" t="n"/>
      <c r="H80" s="10" t="inlineStr">
        <is>
          <t>—</t>
        </is>
      </c>
      <c r="I80" s="10" t="inlineStr"/>
    </row>
  </sheetData>
  <mergeCells count="2">
    <mergeCell ref="A1:F1"/>
    <mergeCell ref="A2:N2"/>
  </mergeCells>
  <conditionalFormatting sqref="B7:D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43:E4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Lead</t>
        </is>
      </c>
    </row>
    <row r="2">
      <c r="A2" s="2" t="inlineStr">
        <is>
          <t>Ticker: LL  |  LME,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0.4102</v>
      </c>
      <c r="C7" s="7" t="n">
        <v>-1.2092</v>
      </c>
      <c r="D7" s="7" t="n">
        <v>-1.0884</v>
      </c>
      <c r="G7" s="8" t="inlineStr">
        <is>
          <t>Low</t>
        </is>
      </c>
      <c r="H7" s="9" t="n">
        <v>56.11</v>
      </c>
      <c r="I7" s="10" t="n">
        <v>2190</v>
      </c>
    </row>
    <row r="8">
      <c r="A8" s="6" t="inlineStr">
        <is>
          <t>Momentum: MA(5,60)</t>
        </is>
      </c>
      <c r="B8" s="7" t="n">
        <v>-0.5024999999999999</v>
      </c>
      <c r="C8" s="7" t="n">
        <v>-1.1119</v>
      </c>
      <c r="D8" s="7" t="n">
        <v>-0.7349</v>
      </c>
      <c r="G8" s="8" t="inlineStr">
        <is>
          <t>Medium</t>
        </is>
      </c>
      <c r="H8" s="9" t="n">
        <v>24.88</v>
      </c>
      <c r="I8" s="10" t="n">
        <v>971</v>
      </c>
    </row>
    <row r="9">
      <c r="A9" s="6" t="inlineStr">
        <is>
          <t>Momentum: MA(20,250)</t>
        </is>
      </c>
      <c r="B9" s="7" t="n">
        <v>-0.7216</v>
      </c>
      <c r="C9" s="7" t="n">
        <v>-0.6898</v>
      </c>
      <c r="D9" s="7" t="n">
        <v>-0.276</v>
      </c>
      <c r="G9" s="8" t="inlineStr">
        <is>
          <t>High</t>
        </is>
      </c>
      <c r="H9" s="9" t="n">
        <v>19.01</v>
      </c>
      <c r="I9" s="10" t="n">
        <v>742</v>
      </c>
    </row>
    <row r="10">
      <c r="A10" s="6" t="inlineStr">
        <is>
          <t>Carry: V1 Level</t>
        </is>
      </c>
      <c r="B10" s="7" t="n">
        <v>-0.1374</v>
      </c>
      <c r="C10" s="7" t="n">
        <v>-0.221</v>
      </c>
      <c r="D10" s="7" t="n">
        <v>-0.476</v>
      </c>
    </row>
    <row r="11">
      <c r="A11" s="6" t="inlineStr">
        <is>
          <t>Carry: V2 Z-score</t>
        </is>
      </c>
      <c r="B11" s="7" t="n">
        <v>0.0709</v>
      </c>
      <c r="C11" s="7" t="n">
        <v>-0.1607</v>
      </c>
      <c r="D11" s="7" t="n">
        <v>-0.6549</v>
      </c>
    </row>
    <row r="12">
      <c r="A12" s="6" t="inlineStr">
        <is>
          <t>Carry: V3 Carry-Mom</t>
        </is>
      </c>
      <c r="B12" s="7" t="n">
        <v>-0.1787</v>
      </c>
      <c r="C12" s="7" t="n">
        <v>-0.0339</v>
      </c>
      <c r="D12" s="7" t="n">
        <v>-1.2545</v>
      </c>
    </row>
    <row r="13">
      <c r="A13" s="6" t="inlineStr">
        <is>
          <t>Value: F8 5yr +/-10%</t>
        </is>
      </c>
      <c r="B13" s="7" t="n">
        <v>0.7879</v>
      </c>
      <c r="C13" s="7" t="n">
        <v>1.0006</v>
      </c>
      <c r="D13" s="7" t="n">
        <v>0.9992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0.4102</v>
      </c>
      <c r="D17" s="10" t="n">
        <v>2189</v>
      </c>
      <c r="E17" s="10" t="n">
        <v>0.0394</v>
      </c>
      <c r="F17" s="10" t="n">
        <v>2023</v>
      </c>
      <c r="G17" s="10" t="n">
        <v>1.209</v>
      </c>
      <c r="H17" s="10" t="inlineStr">
        <is>
          <t>—</t>
        </is>
      </c>
      <c r="I17" s="10" t="n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-1.2092</v>
      </c>
      <c r="D18" s="10" t="n">
        <v>971</v>
      </c>
      <c r="E18" s="10" t="n">
        <v>0.0576</v>
      </c>
      <c r="F18" s="10" t="n">
        <v>865</v>
      </c>
      <c r="G18" s="10" t="n">
        <v>-2.374</v>
      </c>
      <c r="H18" s="10" t="inlineStr">
        <is>
          <t>—</t>
        </is>
      </c>
      <c r="I18" s="10" t="n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-1.0884</v>
      </c>
      <c r="D19" s="10" t="n">
        <v>742</v>
      </c>
      <c r="E19" s="10" t="n">
        <v>-0.0435</v>
      </c>
      <c r="F19" s="10" t="n">
        <v>810</v>
      </c>
      <c r="G19" s="10" t="n">
        <v>-1.868</v>
      </c>
      <c r="H19" s="10" t="inlineStr">
        <is>
          <t>—</t>
        </is>
      </c>
      <c r="I19" s="10" t="n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-0.5024999999999999</v>
      </c>
      <c r="D20" s="10" t="n">
        <v>2190</v>
      </c>
      <c r="E20" s="10" t="n">
        <v>0.0042</v>
      </c>
      <c r="F20" s="10" t="n">
        <v>2172</v>
      </c>
      <c r="G20" s="10" t="n">
        <v>-1.481</v>
      </c>
      <c r="H20" s="10" t="inlineStr">
        <is>
          <t>—</t>
        </is>
      </c>
      <c r="I20" s="10" t="n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-1.1119</v>
      </c>
      <c r="D21" s="10" t="n">
        <v>971</v>
      </c>
      <c r="E21" s="10" t="n">
        <v>0.0639</v>
      </c>
      <c r="F21" s="10" t="n">
        <v>854</v>
      </c>
      <c r="G21" s="10" t="n">
        <v>-2.183</v>
      </c>
      <c r="H21" s="10" t="inlineStr">
        <is>
          <t>—</t>
        </is>
      </c>
      <c r="I21" s="10" t="n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-0.7349</v>
      </c>
      <c r="D22" s="10" t="n">
        <v>742</v>
      </c>
      <c r="E22" s="10" t="n">
        <v>-0.0857</v>
      </c>
      <c r="F22" s="10" t="n">
        <v>881</v>
      </c>
      <c r="G22" s="10" t="n">
        <v>-1.261</v>
      </c>
      <c r="H22" s="10" t="inlineStr">
        <is>
          <t>—</t>
        </is>
      </c>
      <c r="I22" s="10" t="n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-0.7216</v>
      </c>
      <c r="D23" s="10" t="n">
        <v>2190</v>
      </c>
      <c r="E23" s="10" t="n">
        <v>0.0219</v>
      </c>
      <c r="F23" s="10" t="n">
        <v>2096</v>
      </c>
      <c r="G23" s="10" t="n">
        <v>-2.127</v>
      </c>
      <c r="H23" s="10" t="inlineStr">
        <is>
          <t>—</t>
        </is>
      </c>
      <c r="I23" s="10" t="n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-0.6898</v>
      </c>
      <c r="D24" s="10" t="n">
        <v>971</v>
      </c>
      <c r="E24" s="10" t="n">
        <v>0.0677</v>
      </c>
      <c r="F24" s="10" t="n">
        <v>848</v>
      </c>
      <c r="G24" s="10" t="n">
        <v>-1.354</v>
      </c>
      <c r="H24" s="10" t="inlineStr">
        <is>
          <t>—</t>
        </is>
      </c>
      <c r="I24" s="10" t="n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-0.276</v>
      </c>
      <c r="D25" s="10" t="n">
        <v>742</v>
      </c>
      <c r="E25" s="10" t="n">
        <v>-0.0614</v>
      </c>
      <c r="F25" s="10" t="n">
        <v>839</v>
      </c>
      <c r="G25" s="10" t="n">
        <v>-0.474</v>
      </c>
      <c r="H25" s="10" t="inlineStr">
        <is>
          <t>—</t>
        </is>
      </c>
      <c r="I25" s="10" t="n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-0.1374</v>
      </c>
      <c r="D26" s="10" t="n">
        <v>2158</v>
      </c>
      <c r="E26" s="10" t="n">
        <v>0.0314</v>
      </c>
      <c r="F26" s="10" t="n">
        <v>2027</v>
      </c>
      <c r="G26" s="10" t="n">
        <v>-0.402</v>
      </c>
      <c r="H26" s="10" t="inlineStr">
        <is>
          <t>—</t>
        </is>
      </c>
      <c r="I26" s="10" t="n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-0.221</v>
      </c>
      <c r="D27" s="10" t="n">
        <v>949</v>
      </c>
      <c r="E27" s="10" t="n">
        <v>0.0296</v>
      </c>
      <c r="F27" s="10" t="n">
        <v>894</v>
      </c>
      <c r="G27" s="10" t="n">
        <v>-0.429</v>
      </c>
      <c r="H27" s="10" t="inlineStr">
        <is>
          <t>—</t>
        </is>
      </c>
      <c r="I27" s="10" t="n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-0.476</v>
      </c>
      <c r="D28" s="10" t="n">
        <v>708</v>
      </c>
      <c r="E28" s="10" t="n">
        <v>-0.07240000000000001</v>
      </c>
      <c r="F28" s="10" t="n">
        <v>818</v>
      </c>
      <c r="G28" s="10" t="n">
        <v>-0.798</v>
      </c>
      <c r="H28" s="10" t="inlineStr">
        <is>
          <t>—</t>
        </is>
      </c>
      <c r="I28" s="10" t="n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0.0709</v>
      </c>
      <c r="D29" s="10" t="n">
        <v>2190</v>
      </c>
      <c r="E29" s="10" t="n">
        <v>0.0257</v>
      </c>
      <c r="F29" s="10" t="n">
        <v>2080</v>
      </c>
      <c r="G29" s="10" t="n">
        <v>0.209</v>
      </c>
      <c r="H29" s="10" t="inlineStr">
        <is>
          <t>—</t>
        </is>
      </c>
      <c r="I29" s="10" t="n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-0.1607</v>
      </c>
      <c r="D30" s="10" t="n">
        <v>971</v>
      </c>
      <c r="E30" s="10" t="n">
        <v>0.0579</v>
      </c>
      <c r="F30" s="10" t="n">
        <v>865</v>
      </c>
      <c r="G30" s="10" t="n">
        <v>-0.316</v>
      </c>
      <c r="H30" s="10" t="inlineStr">
        <is>
          <t>—</t>
        </is>
      </c>
      <c r="I30" s="10" t="n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-0.6549</v>
      </c>
      <c r="D31" s="10" t="n">
        <v>742</v>
      </c>
      <c r="E31" s="10" t="n">
        <v>0.008999999999999999</v>
      </c>
      <c r="F31" s="10" t="n">
        <v>729</v>
      </c>
      <c r="G31" s="10" t="n">
        <v>-1.124</v>
      </c>
      <c r="H31" s="10" t="inlineStr">
        <is>
          <t>—</t>
        </is>
      </c>
      <c r="I31" s="10" t="n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-0.1787</v>
      </c>
      <c r="D32" s="10" t="n">
        <v>2189</v>
      </c>
      <c r="E32" s="10" t="n">
        <v>0.013</v>
      </c>
      <c r="F32" s="10" t="n">
        <v>2133</v>
      </c>
      <c r="G32" s="10" t="n">
        <v>-0.527</v>
      </c>
      <c r="H32" s="10" t="inlineStr">
        <is>
          <t>—</t>
        </is>
      </c>
      <c r="I32" s="10" t="n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-0.0339</v>
      </c>
      <c r="D33" s="10" t="n">
        <v>971</v>
      </c>
      <c r="E33" s="10" t="n">
        <v>0.0125</v>
      </c>
      <c r="F33" s="10" t="n">
        <v>947</v>
      </c>
      <c r="G33" s="10" t="n">
        <v>-0.067</v>
      </c>
      <c r="H33" s="10" t="inlineStr">
        <is>
          <t>—</t>
        </is>
      </c>
      <c r="I33" s="10" t="n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-1.2545</v>
      </c>
      <c r="D34" s="10" t="n">
        <v>741</v>
      </c>
      <c r="E34" s="10" t="n">
        <v>-0.0944</v>
      </c>
      <c r="F34" s="10" t="n">
        <v>895</v>
      </c>
      <c r="G34" s="10" t="n">
        <v>-2.151</v>
      </c>
      <c r="H34" s="10" t="inlineStr">
        <is>
          <t>—</t>
        </is>
      </c>
      <c r="I34" s="10" t="n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0.7879</v>
      </c>
      <c r="D35" s="10" t="n">
        <v>484</v>
      </c>
      <c r="E35" s="10" t="n">
        <v>0.0263</v>
      </c>
      <c r="F35" s="10" t="n">
        <v>459</v>
      </c>
      <c r="G35" s="10" t="n">
        <v>1.092</v>
      </c>
      <c r="H35" s="10" t="inlineStr">
        <is>
          <t>—</t>
        </is>
      </c>
      <c r="I35" s="10" t="n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1.0006</v>
      </c>
      <c r="D36" s="10" t="n">
        <v>416</v>
      </c>
      <c r="E36" s="10" t="n">
        <v>0.0698</v>
      </c>
      <c r="F36" s="10" t="n">
        <v>362</v>
      </c>
      <c r="G36" s="10" t="n">
        <v>1.286</v>
      </c>
      <c r="H36" s="10" t="inlineStr">
        <is>
          <t>—</t>
        </is>
      </c>
      <c r="I36" s="10" t="n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0.9992</v>
      </c>
      <c r="D37" s="10" t="n">
        <v>349</v>
      </c>
      <c r="E37" s="10" t="n">
        <v>-0.1327</v>
      </c>
      <c r="F37" s="10" t="n">
        <v>456</v>
      </c>
      <c r="G37" s="10" t="n">
        <v>1.176</v>
      </c>
      <c r="H37" s="10" t="inlineStr">
        <is>
          <t>—</t>
        </is>
      </c>
      <c r="I37" s="10" t="n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-0.3484</v>
      </c>
      <c r="C43" s="7" t="n">
        <v>0.1983</v>
      </c>
      <c r="D43" s="7" t="n">
        <v>-0.3134</v>
      </c>
      <c r="E43" s="7" t="n">
        <v>0.1672</v>
      </c>
      <c r="H43" s="8" t="inlineStr">
        <is>
          <t>Concave Contango</t>
        </is>
      </c>
      <c r="I43" s="9" t="n">
        <v>56.77</v>
      </c>
      <c r="J43" s="10" t="n">
        <v>2867</v>
      </c>
    </row>
    <row r="44">
      <c r="A44" s="6" t="inlineStr">
        <is>
          <t>Momentum: MA(5,60)</t>
        </is>
      </c>
      <c r="B44" s="7" t="n">
        <v>-0.2797</v>
      </c>
      <c r="C44" s="7" t="n">
        <v>-0.6073</v>
      </c>
      <c r="D44" s="7" t="n">
        <v>-0.2078</v>
      </c>
      <c r="E44" s="7" t="n">
        <v>-0.6237</v>
      </c>
      <c r="H44" s="8" t="inlineStr">
        <is>
          <t>Convex Contango</t>
        </is>
      </c>
      <c r="I44" s="9" t="n">
        <v>17.92</v>
      </c>
      <c r="J44" s="10" t="n">
        <v>905</v>
      </c>
    </row>
    <row r="45">
      <c r="A45" s="6" t="inlineStr">
        <is>
          <t>Momentum: MA(20,250)</t>
        </is>
      </c>
      <c r="B45" s="7" t="n">
        <v>-0.074</v>
      </c>
      <c r="C45" s="7" t="n">
        <v>-0.7019</v>
      </c>
      <c r="D45" s="7" t="n">
        <v>-0.6182</v>
      </c>
      <c r="E45" s="7" t="n">
        <v>0.1504</v>
      </c>
      <c r="H45" s="8" t="inlineStr">
        <is>
          <t>Convex Backwardation</t>
        </is>
      </c>
      <c r="I45" s="9" t="n">
        <v>12.91</v>
      </c>
      <c r="J45" s="10" t="n">
        <v>652</v>
      </c>
    </row>
    <row r="46">
      <c r="A46" s="6" t="inlineStr">
        <is>
          <t>Carry: V1 Level</t>
        </is>
      </c>
      <c r="B46" s="7" t="n">
        <v>0.5618</v>
      </c>
      <c r="C46" s="7" t="n">
        <v>-1.2736</v>
      </c>
      <c r="D46" s="7" t="n">
        <v>-0.2033</v>
      </c>
      <c r="E46" s="7" t="n">
        <v>-1.0894</v>
      </c>
      <c r="H46" s="8" t="inlineStr">
        <is>
          <t>Concave Backwardation</t>
        </is>
      </c>
      <c r="I46" s="9" t="n">
        <v>12.4</v>
      </c>
      <c r="J46" s="10" t="n">
        <v>626</v>
      </c>
    </row>
    <row r="47">
      <c r="A47" s="6" t="inlineStr">
        <is>
          <t>Carry: V2 Z-score</t>
        </is>
      </c>
      <c r="B47" s="7" t="n">
        <v>0.0216</v>
      </c>
      <c r="C47" s="7" t="n">
        <v>0.0689</v>
      </c>
      <c r="D47" s="7" t="n">
        <v>0.1367</v>
      </c>
      <c r="E47" s="7" t="n">
        <v>-0.7534999999999999</v>
      </c>
    </row>
    <row r="48">
      <c r="A48" s="6" t="inlineStr">
        <is>
          <t>Carry: V3 Carry-Mom</t>
        </is>
      </c>
      <c r="B48" s="7" t="n">
        <v>-0.3284</v>
      </c>
      <c r="C48" s="7" t="n">
        <v>0.124</v>
      </c>
      <c r="D48" s="7" t="n">
        <v>0.0965</v>
      </c>
      <c r="E48" s="7" t="n">
        <v>0.7403999999999999</v>
      </c>
    </row>
    <row r="49">
      <c r="A49" s="6" t="inlineStr">
        <is>
          <t>Value: F8 5yr +/-10%</t>
        </is>
      </c>
      <c r="B49" s="7" t="n">
        <v>0.2248</v>
      </c>
      <c r="C49" s="7" t="n">
        <v>1.6484</v>
      </c>
      <c r="D49" s="7" t="n">
        <v>1.8514</v>
      </c>
      <c r="E49" s="7" t="n">
        <v>1.0244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-0.3484</v>
      </c>
      <c r="D53" s="10" t="n">
        <v>2866</v>
      </c>
      <c r="E53" s="10" t="n">
        <v>0.0223</v>
      </c>
      <c r="F53" s="10" t="n">
        <v>2741</v>
      </c>
      <c r="G53" s="10" t="n">
        <v>-1.175</v>
      </c>
      <c r="H53" s="10" t="inlineStr">
        <is>
          <t>—</t>
        </is>
      </c>
      <c r="I53" s="10" t="n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0.1983</v>
      </c>
      <c r="D54" s="10" t="n">
        <v>905</v>
      </c>
      <c r="E54" s="10" t="n">
        <v>-0.0132</v>
      </c>
      <c r="F54" s="10" t="n">
        <v>929</v>
      </c>
      <c r="G54" s="10" t="n">
        <v>0.376</v>
      </c>
      <c r="H54" s="10" t="inlineStr">
        <is>
          <t>—</t>
        </is>
      </c>
      <c r="I54" s="10" t="n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-0.3134</v>
      </c>
      <c r="D55" s="10" t="n">
        <v>641</v>
      </c>
      <c r="E55" s="10" t="n">
        <v>0.0294</v>
      </c>
      <c r="F55" s="10" t="n">
        <v>604</v>
      </c>
      <c r="G55" s="10" t="n">
        <v>-0.5</v>
      </c>
      <c r="H55" s="10" t="inlineStr">
        <is>
          <t>—</t>
        </is>
      </c>
      <c r="I55" s="10" t="n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0.1672</v>
      </c>
      <c r="D56" s="10" t="n">
        <v>617</v>
      </c>
      <c r="E56" s="10" t="n">
        <v>0.0795</v>
      </c>
      <c r="F56" s="10" t="n">
        <v>526</v>
      </c>
      <c r="G56" s="10" t="n">
        <v>0.262</v>
      </c>
      <c r="H56" s="10" t="inlineStr">
        <is>
          <t>—</t>
        </is>
      </c>
      <c r="I56" s="10" t="n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-0.2797</v>
      </c>
      <c r="D57" s="10" t="n">
        <v>2865</v>
      </c>
      <c r="E57" s="10" t="n">
        <v>0.0173</v>
      </c>
      <c r="F57" s="10" t="n">
        <v>2767</v>
      </c>
      <c r="G57" s="10" t="n">
        <v>-0.9429999999999999</v>
      </c>
      <c r="H57" s="10" t="inlineStr">
        <is>
          <t>—</t>
        </is>
      </c>
      <c r="I57" s="10" t="n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-0.6073</v>
      </c>
      <c r="D58" s="10" t="n">
        <v>905</v>
      </c>
      <c r="E58" s="10" t="n">
        <v>-0.0457</v>
      </c>
      <c r="F58" s="10" t="n">
        <v>992</v>
      </c>
      <c r="G58" s="10" t="n">
        <v>-1.151</v>
      </c>
      <c r="H58" s="10" t="inlineStr">
        <is>
          <t>—</t>
        </is>
      </c>
      <c r="I58" s="10" t="n"/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-0.2078</v>
      </c>
      <c r="D59" s="12" t="n">
        <v>631</v>
      </c>
      <c r="E59" s="12" t="n">
        <v>0.0376</v>
      </c>
      <c r="F59" s="12" t="n">
        <v>585</v>
      </c>
      <c r="G59" s="12" t="n">
        <v>-0.329</v>
      </c>
      <c r="H59" s="12" t="inlineStr">
        <is>
          <t>—</t>
        </is>
      </c>
      <c r="I59" s="12" t="n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-0.6237</v>
      </c>
      <c r="D60" s="10" t="n">
        <v>590</v>
      </c>
      <c r="E60" s="10" t="n">
        <v>0.1145</v>
      </c>
      <c r="F60" s="10" t="n">
        <v>469</v>
      </c>
      <c r="G60" s="10" t="n">
        <v>-0.954</v>
      </c>
      <c r="H60" s="10" t="inlineStr">
        <is>
          <t>—</t>
        </is>
      </c>
      <c r="I60" s="10" t="inlineStr">
        <is>
          <t>CAUTION: positive autocorr, effective N materially below nominal N</t>
        </is>
      </c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-0.074</v>
      </c>
      <c r="D61" s="10" t="n">
        <v>2777</v>
      </c>
      <c r="E61" s="10" t="n">
        <v>0.0314</v>
      </c>
      <c r="F61" s="10" t="n">
        <v>2608</v>
      </c>
      <c r="G61" s="10" t="n">
        <v>-0.246</v>
      </c>
      <c r="H61" s="10" t="inlineStr">
        <is>
          <t>—</t>
        </is>
      </c>
      <c r="I61" s="10" t="n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-0.7019</v>
      </c>
      <c r="D62" s="10" t="n">
        <v>899</v>
      </c>
      <c r="E62" s="10" t="n">
        <v>-0.0305</v>
      </c>
      <c r="F62" s="10" t="n">
        <v>956</v>
      </c>
      <c r="G62" s="10" t="n">
        <v>-1.326</v>
      </c>
      <c r="H62" s="10" t="inlineStr">
        <is>
          <t>—</t>
        </is>
      </c>
      <c r="I62" s="10" t="n"/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-0.6182</v>
      </c>
      <c r="D63" s="12" t="n">
        <v>605</v>
      </c>
      <c r="E63" s="12" t="n">
        <v>0.0324</v>
      </c>
      <c r="F63" s="12" t="n">
        <v>567</v>
      </c>
      <c r="G63" s="12" t="n">
        <v>-0.958</v>
      </c>
      <c r="H63" s="12" t="inlineStr">
        <is>
          <t>—</t>
        </is>
      </c>
      <c r="I63" s="12" t="n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0.1504</v>
      </c>
      <c r="D64" s="10" t="n">
        <v>523</v>
      </c>
      <c r="E64" s="10" t="n">
        <v>0.1288</v>
      </c>
      <c r="F64" s="10" t="n">
        <v>404</v>
      </c>
      <c r="G64" s="10" t="n">
        <v>0.217</v>
      </c>
      <c r="H64" s="10" t="inlineStr">
        <is>
          <t>—</t>
        </is>
      </c>
      <c r="I64" s="10" t="inlineStr">
        <is>
          <t>CAUTION: positive autocorr, effective N materially below nominal N</t>
        </is>
      </c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0.5618</v>
      </c>
      <c r="D65" s="10" t="n">
        <v>2844</v>
      </c>
      <c r="E65" s="10" t="n">
        <v>0.0098</v>
      </c>
      <c r="F65" s="10" t="n">
        <v>2789</v>
      </c>
      <c r="G65" s="10" t="n">
        <v>1.887</v>
      </c>
      <c r="H65" s="10" t="inlineStr">
        <is>
          <t>—</t>
        </is>
      </c>
      <c r="I65" s="10" t="n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-1.2736</v>
      </c>
      <c r="D66" s="10" t="n">
        <v>860</v>
      </c>
      <c r="E66" s="10" t="n">
        <v>-0.0638</v>
      </c>
      <c r="F66" s="10" t="n">
        <v>977</v>
      </c>
      <c r="G66" s="10" t="n">
        <v>-2.353</v>
      </c>
      <c r="H66" s="10" t="inlineStr">
        <is>
          <t>—</t>
        </is>
      </c>
      <c r="I66" s="10" t="n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-0.2033</v>
      </c>
      <c r="D67" s="10" t="n">
        <v>637</v>
      </c>
      <c r="E67" s="10" t="n">
        <v>0.0447</v>
      </c>
      <c r="F67" s="10" t="n">
        <v>582</v>
      </c>
      <c r="G67" s="10" t="n">
        <v>-0.323</v>
      </c>
      <c r="H67" s="10" t="inlineStr">
        <is>
          <t>—</t>
        </is>
      </c>
      <c r="I67" s="10" t="n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-1.0894</v>
      </c>
      <c r="D68" s="10" t="n">
        <v>591</v>
      </c>
      <c r="E68" s="10" t="n">
        <v>0.0853</v>
      </c>
      <c r="F68" s="10" t="n">
        <v>498</v>
      </c>
      <c r="G68" s="10" t="n">
        <v>-1.668</v>
      </c>
      <c r="H68" s="10" t="inlineStr">
        <is>
          <t>—</t>
        </is>
      </c>
      <c r="I68" s="10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0.0216</v>
      </c>
      <c r="D69" s="10" t="n">
        <v>2777</v>
      </c>
      <c r="E69" s="10" t="n">
        <v>0.0213</v>
      </c>
      <c r="F69" s="10" t="n">
        <v>2661</v>
      </c>
      <c r="G69" s="10" t="n">
        <v>0.07199999999999999</v>
      </c>
      <c r="H69" s="10" t="inlineStr">
        <is>
          <t>—</t>
        </is>
      </c>
      <c r="I69" s="10" t="n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0.0689</v>
      </c>
      <c r="D70" s="10" t="n">
        <v>899</v>
      </c>
      <c r="E70" s="10" t="n">
        <v>-0.031</v>
      </c>
      <c r="F70" s="10" t="n">
        <v>956</v>
      </c>
      <c r="G70" s="10" t="n">
        <v>0.13</v>
      </c>
      <c r="H70" s="10" t="inlineStr">
        <is>
          <t>—</t>
        </is>
      </c>
      <c r="I70" s="10" t="n"/>
    </row>
    <row r="71">
      <c r="A71" s="14" t="inlineStr">
        <is>
          <t>Carry: V2 Z-score</t>
        </is>
      </c>
      <c r="B71" s="15" t="inlineStr">
        <is>
          <t>Convex Backwardation</t>
        </is>
      </c>
      <c r="C71" s="16" t="n">
        <v>0.1367</v>
      </c>
      <c r="D71" s="15" t="n">
        <v>605</v>
      </c>
      <c r="E71" s="15" t="n">
        <v>0.0104</v>
      </c>
      <c r="F71" s="15" t="n">
        <v>593</v>
      </c>
      <c r="G71" s="15" t="n">
        <v>0.212</v>
      </c>
      <c r="H71" s="15" t="inlineStr">
        <is>
          <t>—</t>
        </is>
      </c>
      <c r="I71" s="15" t="n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-0.7534999999999999</v>
      </c>
      <c r="D72" s="10" t="n">
        <v>521</v>
      </c>
      <c r="E72" s="10" t="n">
        <v>0.047</v>
      </c>
      <c r="F72" s="10" t="n">
        <v>474</v>
      </c>
      <c r="G72" s="10" t="n">
        <v>-1.083</v>
      </c>
      <c r="H72" s="10" t="inlineStr">
        <is>
          <t>—</t>
        </is>
      </c>
      <c r="I72" s="10" t="n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-0.3284</v>
      </c>
      <c r="D73" s="10" t="n">
        <v>2866</v>
      </c>
      <c r="E73" s="10" t="n">
        <v>0.0071</v>
      </c>
      <c r="F73" s="10" t="n">
        <v>2825</v>
      </c>
      <c r="G73" s="10" t="n">
        <v>-1.107</v>
      </c>
      <c r="H73" s="10" t="inlineStr">
        <is>
          <t>—</t>
        </is>
      </c>
      <c r="I73" s="10" t="n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0.124</v>
      </c>
      <c r="D74" s="10" t="n">
        <v>903</v>
      </c>
      <c r="E74" s="10" t="n">
        <v>-0.0253</v>
      </c>
      <c r="F74" s="10" t="n">
        <v>950</v>
      </c>
      <c r="G74" s="10" t="n">
        <v>0.235</v>
      </c>
      <c r="H74" s="10" t="inlineStr">
        <is>
          <t>—</t>
        </is>
      </c>
      <c r="I74" s="10" t="n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0.0965</v>
      </c>
      <c r="D75" s="12" t="n">
        <v>640</v>
      </c>
      <c r="E75" s="12" t="n">
        <v>0.0298</v>
      </c>
      <c r="F75" s="12" t="n">
        <v>603</v>
      </c>
      <c r="G75" s="12" t="n">
        <v>0.154</v>
      </c>
      <c r="H75" s="12" t="inlineStr">
        <is>
          <t>—</t>
        </is>
      </c>
      <c r="I75" s="12" t="n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0.7403999999999999</v>
      </c>
      <c r="D76" s="10" t="n">
        <v>615</v>
      </c>
      <c r="E76" s="10" t="n">
        <v>0.1114</v>
      </c>
      <c r="F76" s="10" t="n">
        <v>492</v>
      </c>
      <c r="G76" s="10" t="n">
        <v>1.157</v>
      </c>
      <c r="H76" s="10" t="inlineStr">
        <is>
          <t>—</t>
        </is>
      </c>
      <c r="I76" s="10" t="inlineStr">
        <is>
          <t>CAUTION: positive autocorr, effective N materially below nominal N</t>
        </is>
      </c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0.2248</v>
      </c>
      <c r="D77" s="10" t="n">
        <v>999</v>
      </c>
      <c r="E77" s="10" t="n">
        <v>0.0228</v>
      </c>
      <c r="F77" s="10" t="n">
        <v>954</v>
      </c>
      <c r="G77" s="10" t="n">
        <v>0.448</v>
      </c>
      <c r="H77" s="10" t="inlineStr">
        <is>
          <t>—</t>
        </is>
      </c>
      <c r="I77" s="10" t="n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1.6484</v>
      </c>
      <c r="D78" s="10" t="n">
        <v>312</v>
      </c>
      <c r="E78" s="10" t="n">
        <v>-0.1365</v>
      </c>
      <c r="F78" s="10" t="n">
        <v>411</v>
      </c>
      <c r="G78" s="10" t="n">
        <v>1.834</v>
      </c>
      <c r="H78" s="10" t="inlineStr">
        <is>
          <t>—</t>
        </is>
      </c>
      <c r="I78" s="10" t="n"/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1.8514</v>
      </c>
      <c r="D79" s="12" t="n">
        <v>251</v>
      </c>
      <c r="E79" s="12" t="n">
        <v>0.0571</v>
      </c>
      <c r="F79" s="12" t="n">
        <v>224</v>
      </c>
      <c r="G79" s="12" t="n">
        <v>1.848</v>
      </c>
      <c r="H79" s="12" t="inlineStr">
        <is>
          <t>—</t>
        </is>
      </c>
      <c r="I79" s="12" t="n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1.0244</v>
      </c>
      <c r="D80" s="10" t="n">
        <v>99</v>
      </c>
      <c r="E80" s="10" t="n">
        <v>0.0621</v>
      </c>
      <c r="F80" s="10" t="n">
        <v>87</v>
      </c>
      <c r="G80" s="10" t="n">
        <v>0.642</v>
      </c>
      <c r="H80" s="10" t="inlineStr">
        <is>
          <t>—</t>
        </is>
      </c>
      <c r="I80" s="10" t="n"/>
    </row>
  </sheetData>
  <mergeCells count="2">
    <mergeCell ref="A1:F1"/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Zinc</t>
        </is>
      </c>
    </row>
    <row r="2">
      <c r="A2" s="2" t="inlineStr">
        <is>
          <t>Ticker: LX  |  LME, Metals  |  Data: 2006-01-03 to 2026-06-30  |  Curve-shape tenors: F1/F3/F5  |  Carry near/far: F1-F2  |  TC: 5bps + roll charge, Lag-1, active-day Sharpe</t>
        </is>
      </c>
    </row>
    <row r="4">
      <c r="A4" s="3" t="inlineStr">
        <is>
          <t>PART 1 — VOLATILITY REGIME</t>
        </is>
      </c>
    </row>
    <row r="5">
      <c r="A5" s="4" t="inlineStr">
        <is>
          <t>Sharpe by Regime (net, active-day)</t>
        </is>
      </c>
      <c r="G5" s="4" t="inlineStr">
        <is>
          <t>Regime Frequency</t>
        </is>
      </c>
    </row>
    <row r="6">
      <c r="A6" s="5" t="inlineStr">
        <is>
          <t>Strategy</t>
        </is>
      </c>
      <c r="B6" s="5" t="inlineStr">
        <is>
          <t>Low</t>
        </is>
      </c>
      <c r="C6" s="5" t="inlineStr">
        <is>
          <t>Medium</t>
        </is>
      </c>
      <c r="D6" s="5" t="inlineStr">
        <is>
          <t>High</t>
        </is>
      </c>
      <c r="G6" s="5" t="inlineStr">
        <is>
          <t>Regime</t>
        </is>
      </c>
      <c r="H6" s="5" t="inlineStr">
        <is>
          <t>% of days</t>
        </is>
      </c>
      <c r="I6" s="5" t="inlineStr">
        <is>
          <t>N days</t>
        </is>
      </c>
    </row>
    <row r="7">
      <c r="A7" s="6" t="inlineStr">
        <is>
          <t>Momentum: MA(1,20)</t>
        </is>
      </c>
      <c r="B7" s="7" t="n">
        <v>-0.2551</v>
      </c>
      <c r="C7" s="7" t="n">
        <v>-0.7957</v>
      </c>
      <c r="D7" s="7" t="n">
        <v>-0.1956</v>
      </c>
      <c r="G7" s="8" t="inlineStr">
        <is>
          <t>Low</t>
        </is>
      </c>
      <c r="H7" s="9" t="n">
        <v>40.96</v>
      </c>
      <c r="I7" s="10" t="n">
        <v>1598</v>
      </c>
    </row>
    <row r="8">
      <c r="A8" s="6" t="inlineStr">
        <is>
          <t>Momentum: MA(5,60)</t>
        </is>
      </c>
      <c r="B8" s="7" t="n">
        <v>-0.4219</v>
      </c>
      <c r="C8" s="7" t="n">
        <v>-0.0183</v>
      </c>
      <c r="D8" s="7" t="n">
        <v>-0.1778</v>
      </c>
      <c r="G8" s="8" t="inlineStr">
        <is>
          <t>Medium</t>
        </is>
      </c>
      <c r="H8" s="9" t="n">
        <v>31.25</v>
      </c>
      <c r="I8" s="10" t="n">
        <v>1219</v>
      </c>
    </row>
    <row r="9">
      <c r="A9" s="6" t="inlineStr">
        <is>
          <t>Momentum: MA(20,250)</t>
        </is>
      </c>
      <c r="B9" s="7" t="n">
        <v>-0.4415</v>
      </c>
      <c r="C9" s="7" t="n">
        <v>0.8618</v>
      </c>
      <c r="D9" s="7" t="n">
        <v>-0.3339</v>
      </c>
      <c r="G9" s="8" t="inlineStr">
        <is>
          <t>High</t>
        </is>
      </c>
      <c r="H9" s="9" t="n">
        <v>27.79</v>
      </c>
      <c r="I9" s="10" t="n">
        <v>1084</v>
      </c>
    </row>
    <row r="10">
      <c r="A10" s="6" t="inlineStr">
        <is>
          <t>Carry: V1 Level</t>
        </is>
      </c>
      <c r="B10" s="7" t="n">
        <v>-0.3733</v>
      </c>
      <c r="C10" s="7" t="n">
        <v>-0.4993</v>
      </c>
      <c r="D10" s="7" t="n">
        <v>-0.9104</v>
      </c>
    </row>
    <row r="11">
      <c r="A11" s="6" t="inlineStr">
        <is>
          <t>Carry: V2 Z-score</t>
        </is>
      </c>
      <c r="B11" s="7" t="n">
        <v>0.0728</v>
      </c>
      <c r="C11" s="7" t="n">
        <v>0.0406</v>
      </c>
      <c r="D11" s="7" t="n">
        <v>-0.6218</v>
      </c>
    </row>
    <row r="12">
      <c r="A12" s="6" t="inlineStr">
        <is>
          <t>Carry: V3 Carry-Mom</t>
        </is>
      </c>
      <c r="B12" s="7" t="n">
        <v>0.1245</v>
      </c>
      <c r="C12" s="7" t="n">
        <v>0.0859</v>
      </c>
      <c r="D12" s="7" t="n">
        <v>-0.4404</v>
      </c>
    </row>
    <row r="13">
      <c r="A13" s="6" t="inlineStr">
        <is>
          <t>Value: F8 5yr +/-10%</t>
        </is>
      </c>
      <c r="B13" s="7" t="n">
        <v>0.6466</v>
      </c>
      <c r="C13" s="7" t="n">
        <v>0.2954</v>
      </c>
      <c r="D13" s="7" t="n">
        <v>0.3331</v>
      </c>
    </row>
    <row r="15">
      <c r="A15" s="4" t="inlineStr">
        <is>
          <t>Robustness Detail (autocorrelation, effective N, Bonferroni m=21)</t>
        </is>
      </c>
    </row>
    <row r="16" ht="26" customHeight="1">
      <c r="A16" s="5" t="inlineStr">
        <is>
          <t>Strategy</t>
        </is>
      </c>
      <c r="B16" s="5" t="inlineStr">
        <is>
          <t>Regime</t>
        </is>
      </c>
      <c r="C16" s="5" t="inlineStr">
        <is>
          <t>Sharpe</t>
        </is>
      </c>
      <c r="D16" s="5" t="inlineStr">
        <is>
          <t>N</t>
        </is>
      </c>
      <c r="E16" s="5" t="inlineStr">
        <is>
          <t>AC1</t>
        </is>
      </c>
      <c r="F16" s="5" t="inlineStr">
        <is>
          <t>N_eff</t>
        </is>
      </c>
      <c r="G16" s="5" t="inlineStr">
        <is>
          <t>t-stat</t>
        </is>
      </c>
      <c r="H16" s="5" t="inlineStr">
        <is>
          <t>Bonferroni
(m=21)</t>
        </is>
      </c>
      <c r="I16" s="5" t="inlineStr">
        <is>
          <t>Flag</t>
        </is>
      </c>
    </row>
    <row r="17">
      <c r="A17" s="6" t="inlineStr">
        <is>
          <t>Momentum: MA(1,20)</t>
        </is>
      </c>
      <c r="B17" s="10" t="inlineStr">
        <is>
          <t>Low</t>
        </is>
      </c>
      <c r="C17" s="7" t="n">
        <v>-0.2551</v>
      </c>
      <c r="D17" s="10" t="n">
        <v>1598</v>
      </c>
      <c r="E17" s="10" t="n">
        <v>0.0104</v>
      </c>
      <c r="F17" s="10" t="n">
        <v>1565</v>
      </c>
      <c r="G17" s="10" t="n">
        <v>-0.642</v>
      </c>
      <c r="H17" s="10" t="inlineStr">
        <is>
          <t>—</t>
        </is>
      </c>
      <c r="I17" s="10" t="n"/>
    </row>
    <row r="18">
      <c r="A18" s="6" t="inlineStr">
        <is>
          <t>Momentum: MA(1,20)</t>
        </is>
      </c>
      <c r="B18" s="10" t="inlineStr">
        <is>
          <t>Medium</t>
        </is>
      </c>
      <c r="C18" s="7" t="n">
        <v>-0.7957</v>
      </c>
      <c r="D18" s="10" t="n">
        <v>1219</v>
      </c>
      <c r="E18" s="10" t="n">
        <v>0.0056</v>
      </c>
      <c r="F18" s="10" t="n">
        <v>1205</v>
      </c>
      <c r="G18" s="10" t="n">
        <v>-1.75</v>
      </c>
      <c r="H18" s="10" t="inlineStr">
        <is>
          <t>—</t>
        </is>
      </c>
      <c r="I18" s="10" t="n"/>
    </row>
    <row r="19">
      <c r="A19" s="6" t="inlineStr">
        <is>
          <t>Momentum: MA(1,20)</t>
        </is>
      </c>
      <c r="B19" s="10" t="inlineStr">
        <is>
          <t>High</t>
        </is>
      </c>
      <c r="C19" s="7" t="n">
        <v>-0.1956</v>
      </c>
      <c r="D19" s="10" t="n">
        <v>1084</v>
      </c>
      <c r="E19" s="10" t="n">
        <v>0.0043</v>
      </c>
      <c r="F19" s="10" t="n">
        <v>1075</v>
      </c>
      <c r="G19" s="10" t="n">
        <v>-0.406</v>
      </c>
      <c r="H19" s="10" t="inlineStr">
        <is>
          <t>—</t>
        </is>
      </c>
      <c r="I19" s="10" t="n"/>
    </row>
    <row r="20">
      <c r="A20" s="6" t="inlineStr">
        <is>
          <t>Momentum: MA(5,60)</t>
        </is>
      </c>
      <c r="B20" s="10" t="inlineStr">
        <is>
          <t>Low</t>
        </is>
      </c>
      <c r="C20" s="7" t="n">
        <v>-0.4219</v>
      </c>
      <c r="D20" s="10" t="n">
        <v>1598</v>
      </c>
      <c r="E20" s="10" t="n">
        <v>0.031</v>
      </c>
      <c r="F20" s="10" t="n">
        <v>1502</v>
      </c>
      <c r="G20" s="10" t="n">
        <v>-1.062</v>
      </c>
      <c r="H20" s="10" t="inlineStr">
        <is>
          <t>—</t>
        </is>
      </c>
      <c r="I20" s="10" t="n"/>
    </row>
    <row r="21">
      <c r="A21" s="6" t="inlineStr">
        <is>
          <t>Momentum: MA(5,60)</t>
        </is>
      </c>
      <c r="B21" s="10" t="inlineStr">
        <is>
          <t>Medium</t>
        </is>
      </c>
      <c r="C21" s="7" t="n">
        <v>-0.0183</v>
      </c>
      <c r="D21" s="10" t="n">
        <v>1219</v>
      </c>
      <c r="E21" s="10" t="n">
        <v>-0.0165</v>
      </c>
      <c r="F21" s="10" t="n">
        <v>1260</v>
      </c>
      <c r="G21" s="10" t="n">
        <v>-0.04</v>
      </c>
      <c r="H21" s="10" t="inlineStr">
        <is>
          <t>—</t>
        </is>
      </c>
      <c r="I21" s="10" t="n"/>
    </row>
    <row r="22">
      <c r="A22" s="6" t="inlineStr">
        <is>
          <t>Momentum: MA(5,60)</t>
        </is>
      </c>
      <c r="B22" s="10" t="inlineStr">
        <is>
          <t>High</t>
        </is>
      </c>
      <c r="C22" s="7" t="n">
        <v>-0.1778</v>
      </c>
      <c r="D22" s="10" t="n">
        <v>1084</v>
      </c>
      <c r="E22" s="10" t="n">
        <v>0.0397</v>
      </c>
      <c r="F22" s="10" t="n">
        <v>1001</v>
      </c>
      <c r="G22" s="10" t="n">
        <v>-0.369</v>
      </c>
      <c r="H22" s="10" t="inlineStr">
        <is>
          <t>—</t>
        </is>
      </c>
      <c r="I22" s="10" t="n"/>
    </row>
    <row r="23">
      <c r="A23" s="6" t="inlineStr">
        <is>
          <t>Momentum: MA(20,250)</t>
        </is>
      </c>
      <c r="B23" s="10" t="inlineStr">
        <is>
          <t>Low</t>
        </is>
      </c>
      <c r="C23" s="7" t="n">
        <v>-0.4415</v>
      </c>
      <c r="D23" s="10" t="n">
        <v>1598</v>
      </c>
      <c r="E23" s="10" t="n">
        <v>0.0363</v>
      </c>
      <c r="F23" s="10" t="n">
        <v>1486</v>
      </c>
      <c r="G23" s="10" t="n">
        <v>-1.112</v>
      </c>
      <c r="H23" s="10" t="inlineStr">
        <is>
          <t>—</t>
        </is>
      </c>
      <c r="I23" s="10" t="n"/>
    </row>
    <row r="24">
      <c r="A24" s="6" t="inlineStr">
        <is>
          <t>Momentum: MA(20,250)</t>
        </is>
      </c>
      <c r="B24" s="10" t="inlineStr">
        <is>
          <t>Medium</t>
        </is>
      </c>
      <c r="C24" s="7" t="n">
        <v>0.8618</v>
      </c>
      <c r="D24" s="10" t="n">
        <v>1219</v>
      </c>
      <c r="E24" s="10" t="n">
        <v>-0.0143</v>
      </c>
      <c r="F24" s="10" t="n">
        <v>1254</v>
      </c>
      <c r="G24" s="10" t="n">
        <v>1.895</v>
      </c>
      <c r="H24" s="10" t="inlineStr">
        <is>
          <t>—</t>
        </is>
      </c>
      <c r="I24" s="10" t="n"/>
    </row>
    <row r="25">
      <c r="A25" s="6" t="inlineStr">
        <is>
          <t>Momentum: MA(20,250)</t>
        </is>
      </c>
      <c r="B25" s="10" t="inlineStr">
        <is>
          <t>High</t>
        </is>
      </c>
      <c r="C25" s="7" t="n">
        <v>-0.3339</v>
      </c>
      <c r="D25" s="10" t="n">
        <v>1084</v>
      </c>
      <c r="E25" s="10" t="n">
        <v>0.0236</v>
      </c>
      <c r="F25" s="10" t="n">
        <v>1034</v>
      </c>
      <c r="G25" s="10" t="n">
        <v>-0.6919999999999999</v>
      </c>
      <c r="H25" s="10" t="inlineStr">
        <is>
          <t>—</t>
        </is>
      </c>
      <c r="I25" s="10" t="n"/>
    </row>
    <row r="26">
      <c r="A26" s="6" t="inlineStr">
        <is>
          <t>Carry: V1 Level</t>
        </is>
      </c>
      <c r="B26" s="10" t="inlineStr">
        <is>
          <t>Low</t>
        </is>
      </c>
      <c r="C26" s="7" t="n">
        <v>-0.3733</v>
      </c>
      <c r="D26" s="10" t="n">
        <v>1575</v>
      </c>
      <c r="E26" s="10" t="n">
        <v>0.0368</v>
      </c>
      <c r="F26" s="10" t="n">
        <v>1463</v>
      </c>
      <c r="G26" s="10" t="n">
        <v>-0.9330000000000001</v>
      </c>
      <c r="H26" s="10" t="inlineStr">
        <is>
          <t>—</t>
        </is>
      </c>
      <c r="I26" s="10" t="n"/>
    </row>
    <row r="27">
      <c r="A27" s="6" t="inlineStr">
        <is>
          <t>Carry: V1 Level</t>
        </is>
      </c>
      <c r="B27" s="10" t="inlineStr">
        <is>
          <t>Medium</t>
        </is>
      </c>
      <c r="C27" s="7" t="n">
        <v>-0.4993</v>
      </c>
      <c r="D27" s="10" t="n">
        <v>1198</v>
      </c>
      <c r="E27" s="10" t="n">
        <v>0.0083</v>
      </c>
      <c r="F27" s="10" t="n">
        <v>1178</v>
      </c>
      <c r="G27" s="10" t="n">
        <v>-1.089</v>
      </c>
      <c r="H27" s="10" t="inlineStr">
        <is>
          <t>—</t>
        </is>
      </c>
      <c r="I27" s="10" t="n"/>
    </row>
    <row r="28">
      <c r="A28" s="6" t="inlineStr">
        <is>
          <t>Carry: V1 Level</t>
        </is>
      </c>
      <c r="B28" s="10" t="inlineStr">
        <is>
          <t>High</t>
        </is>
      </c>
      <c r="C28" s="7" t="n">
        <v>-0.9104</v>
      </c>
      <c r="D28" s="10" t="n">
        <v>1061</v>
      </c>
      <c r="E28" s="10" t="n">
        <v>0.0261</v>
      </c>
      <c r="F28" s="10" t="n">
        <v>1007</v>
      </c>
      <c r="G28" s="10" t="n">
        <v>-1.868</v>
      </c>
      <c r="H28" s="10" t="inlineStr">
        <is>
          <t>—</t>
        </is>
      </c>
      <c r="I28" s="10" t="n"/>
    </row>
    <row r="29">
      <c r="A29" s="6" t="inlineStr">
        <is>
          <t>Carry: V2 Z-score</t>
        </is>
      </c>
      <c r="B29" s="10" t="inlineStr">
        <is>
          <t>Low</t>
        </is>
      </c>
      <c r="C29" s="7" t="n">
        <v>0.0728</v>
      </c>
      <c r="D29" s="10" t="n">
        <v>1598</v>
      </c>
      <c r="E29" s="10" t="n">
        <v>0.0569</v>
      </c>
      <c r="F29" s="10" t="n">
        <v>1426</v>
      </c>
      <c r="G29" s="10" t="n">
        <v>0.183</v>
      </c>
      <c r="H29" s="10" t="inlineStr">
        <is>
          <t>—</t>
        </is>
      </c>
      <c r="I29" s="10" t="n"/>
    </row>
    <row r="30">
      <c r="A30" s="6" t="inlineStr">
        <is>
          <t>Carry: V2 Z-score</t>
        </is>
      </c>
      <c r="B30" s="10" t="inlineStr">
        <is>
          <t>Medium</t>
        </is>
      </c>
      <c r="C30" s="7" t="n">
        <v>0.0406</v>
      </c>
      <c r="D30" s="10" t="n">
        <v>1219</v>
      </c>
      <c r="E30" s="10" t="n">
        <v>-0.0029</v>
      </c>
      <c r="F30" s="10" t="n">
        <v>1226</v>
      </c>
      <c r="G30" s="10" t="n">
        <v>0.089</v>
      </c>
      <c r="H30" s="10" t="inlineStr">
        <is>
          <t>—</t>
        </is>
      </c>
      <c r="I30" s="10" t="n"/>
    </row>
    <row r="31">
      <c r="A31" s="6" t="inlineStr">
        <is>
          <t>Carry: V2 Z-score</t>
        </is>
      </c>
      <c r="B31" s="10" t="inlineStr">
        <is>
          <t>High</t>
        </is>
      </c>
      <c r="C31" s="7" t="n">
        <v>-0.6218</v>
      </c>
      <c r="D31" s="10" t="n">
        <v>1084</v>
      </c>
      <c r="E31" s="10" t="n">
        <v>0.0351</v>
      </c>
      <c r="F31" s="10" t="n">
        <v>1010</v>
      </c>
      <c r="G31" s="10" t="n">
        <v>-1.29</v>
      </c>
      <c r="H31" s="10" t="inlineStr">
        <is>
          <t>—</t>
        </is>
      </c>
      <c r="I31" s="10" t="n"/>
    </row>
    <row r="32">
      <c r="A32" s="6" t="inlineStr">
        <is>
          <t>Carry: V3 Carry-Mom</t>
        </is>
      </c>
      <c r="B32" s="10" t="inlineStr">
        <is>
          <t>Low</t>
        </is>
      </c>
      <c r="C32" s="7" t="n">
        <v>0.1245</v>
      </c>
      <c r="D32" s="10" t="n">
        <v>1598</v>
      </c>
      <c r="E32" s="10" t="n">
        <v>0.0399</v>
      </c>
      <c r="F32" s="10" t="n">
        <v>1475</v>
      </c>
      <c r="G32" s="10" t="n">
        <v>0.313</v>
      </c>
      <c r="H32" s="10" t="inlineStr">
        <is>
          <t>—</t>
        </is>
      </c>
      <c r="I32" s="10" t="n"/>
    </row>
    <row r="33">
      <c r="A33" s="6" t="inlineStr">
        <is>
          <t>Carry: V3 Carry-Mom</t>
        </is>
      </c>
      <c r="B33" s="10" t="inlineStr">
        <is>
          <t>Medium</t>
        </is>
      </c>
      <c r="C33" s="7" t="n">
        <v>0.0859</v>
      </c>
      <c r="D33" s="10" t="n">
        <v>1219</v>
      </c>
      <c r="E33" s="10" t="n">
        <v>0.0148</v>
      </c>
      <c r="F33" s="10" t="n">
        <v>1183</v>
      </c>
      <c r="G33" s="10" t="n">
        <v>0.189</v>
      </c>
      <c r="H33" s="10" t="inlineStr">
        <is>
          <t>—</t>
        </is>
      </c>
      <c r="I33" s="10" t="n"/>
    </row>
    <row r="34">
      <c r="A34" s="6" t="inlineStr">
        <is>
          <t>Carry: V3 Carry-Mom</t>
        </is>
      </c>
      <c r="B34" s="10" t="inlineStr">
        <is>
          <t>High</t>
        </is>
      </c>
      <c r="C34" s="7" t="n">
        <v>-0.4404</v>
      </c>
      <c r="D34" s="10" t="n">
        <v>1084</v>
      </c>
      <c r="E34" s="10" t="n">
        <v>0.0399</v>
      </c>
      <c r="F34" s="10" t="n">
        <v>1001</v>
      </c>
      <c r="G34" s="10" t="n">
        <v>-0.913</v>
      </c>
      <c r="H34" s="10" t="inlineStr">
        <is>
          <t>—</t>
        </is>
      </c>
      <c r="I34" s="10" t="n"/>
    </row>
    <row r="35">
      <c r="A35" s="6" t="inlineStr">
        <is>
          <t>Value: F8 5yr +/-10%</t>
        </is>
      </c>
      <c r="B35" s="10" t="inlineStr">
        <is>
          <t>Low</t>
        </is>
      </c>
      <c r="C35" s="7" t="n">
        <v>0.6466</v>
      </c>
      <c r="D35" s="10" t="n">
        <v>375</v>
      </c>
      <c r="E35" s="10" t="n">
        <v>-0.0225</v>
      </c>
      <c r="F35" s="10" t="n">
        <v>392</v>
      </c>
      <c r="G35" s="10" t="n">
        <v>0.789</v>
      </c>
      <c r="H35" s="10" t="inlineStr">
        <is>
          <t>—</t>
        </is>
      </c>
      <c r="I35" s="10" t="n"/>
    </row>
    <row r="36">
      <c r="A36" s="6" t="inlineStr">
        <is>
          <t>Value: F8 5yr +/-10%</t>
        </is>
      </c>
      <c r="B36" s="10" t="inlineStr">
        <is>
          <t>Medium</t>
        </is>
      </c>
      <c r="C36" s="7" t="n">
        <v>0.2954</v>
      </c>
      <c r="D36" s="10" t="n">
        <v>578</v>
      </c>
      <c r="E36" s="10" t="n">
        <v>-0.0272</v>
      </c>
      <c r="F36" s="10" t="n">
        <v>610</v>
      </c>
      <c r="G36" s="10" t="n">
        <v>0.447</v>
      </c>
      <c r="H36" s="10" t="inlineStr">
        <is>
          <t>—</t>
        </is>
      </c>
      <c r="I36" s="10" t="n"/>
    </row>
    <row r="37">
      <c r="A37" s="6" t="inlineStr">
        <is>
          <t>Value: F8 5yr +/-10%</t>
        </is>
      </c>
      <c r="B37" s="10" t="inlineStr">
        <is>
          <t>High</t>
        </is>
      </c>
      <c r="C37" s="7" t="n">
        <v>0.3331</v>
      </c>
      <c r="D37" s="10" t="n">
        <v>749</v>
      </c>
      <c r="E37" s="10" t="n">
        <v>0.0397</v>
      </c>
      <c r="F37" s="10" t="n">
        <v>692</v>
      </c>
      <c r="G37" s="10" t="n">
        <v>0.574</v>
      </c>
      <c r="H37" s="10" t="inlineStr">
        <is>
          <t>—</t>
        </is>
      </c>
      <c r="I37" s="10" t="n"/>
    </row>
    <row r="40">
      <c r="A40" s="3" t="inlineStr">
        <is>
          <t>PART 2 — CURVE-SHAPE REGIME (Bouchouev fractionation)</t>
        </is>
      </c>
    </row>
    <row r="41">
      <c r="A41" s="4" t="inlineStr">
        <is>
          <t>Sharpe by Regime (net, active-day)</t>
        </is>
      </c>
      <c r="H41" s="4" t="inlineStr">
        <is>
          <t>Regime Frequency</t>
        </is>
      </c>
    </row>
    <row r="42">
      <c r="A42" s="5" t="inlineStr">
        <is>
          <t>Strategy</t>
        </is>
      </c>
      <c r="B42" s="5" t="inlineStr">
        <is>
          <t>Concave Contango</t>
        </is>
      </c>
      <c r="C42" s="5" t="inlineStr">
        <is>
          <t>Convex Contango</t>
        </is>
      </c>
      <c r="D42" s="5" t="inlineStr">
        <is>
          <t>Convex Backwardation</t>
        </is>
      </c>
      <c r="E42" s="5" t="inlineStr">
        <is>
          <t>Concave Backwardation</t>
        </is>
      </c>
      <c r="H42" s="5" t="inlineStr">
        <is>
          <t>Regime</t>
        </is>
      </c>
      <c r="I42" s="5" t="inlineStr">
        <is>
          <t>% of days</t>
        </is>
      </c>
      <c r="J42" s="5" t="inlineStr">
        <is>
          <t>N days</t>
        </is>
      </c>
    </row>
    <row r="43">
      <c r="A43" s="6" t="inlineStr">
        <is>
          <t>Momentum: MA(1,20)</t>
        </is>
      </c>
      <c r="B43" s="7" t="n">
        <v>-0.5547</v>
      </c>
      <c r="C43" s="7" t="n">
        <v>-0.7933</v>
      </c>
      <c r="D43" s="7" t="n">
        <v>-0.2406</v>
      </c>
      <c r="E43" s="7" t="n">
        <v>0.4174</v>
      </c>
      <c r="H43" s="8" t="inlineStr">
        <is>
          <t>Concave Contango</t>
        </is>
      </c>
      <c r="I43" s="9" t="n">
        <v>52.99</v>
      </c>
      <c r="J43" s="10" t="n">
        <v>2685</v>
      </c>
    </row>
    <row r="44">
      <c r="A44" s="6" t="inlineStr">
        <is>
          <t>Momentum: MA(5,60)</t>
        </is>
      </c>
      <c r="B44" s="7" t="n">
        <v>-0.0103</v>
      </c>
      <c r="C44" s="7" t="n">
        <v>-0.4471</v>
      </c>
      <c r="D44" s="7" t="n">
        <v>-0.3773</v>
      </c>
      <c r="E44" s="7" t="n">
        <v>0.4777</v>
      </c>
      <c r="H44" s="8" t="inlineStr">
        <is>
          <t>Convex Contango</t>
        </is>
      </c>
      <c r="I44" s="9" t="n">
        <v>17.09</v>
      </c>
      <c r="J44" s="10" t="n">
        <v>866</v>
      </c>
    </row>
    <row r="45">
      <c r="A45" s="6" t="inlineStr">
        <is>
          <t>Momentum: MA(20,250)</t>
        </is>
      </c>
      <c r="B45" s="7" t="n">
        <v>0.097</v>
      </c>
      <c r="C45" s="7" t="n">
        <v>0.3136</v>
      </c>
      <c r="D45" s="7" t="n">
        <v>-0.9088000000000001</v>
      </c>
      <c r="E45" s="7" t="n">
        <v>1.0397</v>
      </c>
      <c r="H45" s="8" t="inlineStr">
        <is>
          <t>Convex Backwardation</t>
        </is>
      </c>
      <c r="I45" s="9" t="n">
        <v>13.16</v>
      </c>
      <c r="J45" s="10" t="n">
        <v>667</v>
      </c>
    </row>
    <row r="46">
      <c r="A46" s="6" t="inlineStr">
        <is>
          <t>Carry: V1 Level</t>
        </is>
      </c>
      <c r="B46" s="7" t="n">
        <v>0.0849</v>
      </c>
      <c r="C46" s="7" t="n">
        <v>-1.3366</v>
      </c>
      <c r="D46" s="7" t="n">
        <v>-0.5149</v>
      </c>
      <c r="E46" s="7" t="n">
        <v>-1.3695</v>
      </c>
      <c r="H46" s="8" t="inlineStr">
        <is>
          <t>Concave Backwardation</t>
        </is>
      </c>
      <c r="I46" s="9" t="n">
        <v>16.76</v>
      </c>
      <c r="J46" s="10" t="n">
        <v>849</v>
      </c>
    </row>
    <row r="47">
      <c r="A47" s="6" t="inlineStr">
        <is>
          <t>Carry: V2 Z-score</t>
        </is>
      </c>
      <c r="B47" s="7" t="n">
        <v>0.0484</v>
      </c>
      <c r="C47" s="7" t="n">
        <v>-0.3086</v>
      </c>
      <c r="D47" s="7" t="n">
        <v>-0.1122</v>
      </c>
      <c r="E47" s="7" t="n">
        <v>-0.3617</v>
      </c>
    </row>
    <row r="48">
      <c r="A48" s="6" t="inlineStr">
        <is>
          <t>Carry: V3 Carry-Mom</t>
        </is>
      </c>
      <c r="B48" s="7" t="n">
        <v>0.0213</v>
      </c>
      <c r="C48" s="7" t="n">
        <v>0.3357</v>
      </c>
      <c r="D48" s="7" t="n">
        <v>0.1512</v>
      </c>
      <c r="E48" s="7" t="n">
        <v>-0.0602</v>
      </c>
    </row>
    <row r="49">
      <c r="A49" s="6" t="inlineStr">
        <is>
          <t>Value: F8 5yr +/-10%</t>
        </is>
      </c>
      <c r="B49" s="7" t="n">
        <v>0.2582</v>
      </c>
      <c r="C49" s="7" t="n">
        <v>1.6123</v>
      </c>
      <c r="D49" s="7" t="n">
        <v>1.3294</v>
      </c>
      <c r="E49" s="7" t="n">
        <v>-1.0148</v>
      </c>
    </row>
    <row r="51">
      <c r="A51" s="4" t="inlineStr">
        <is>
          <t>Robustness Detail (autocorrelation, effective N, Bonferroni m=28)</t>
        </is>
      </c>
    </row>
    <row r="52" ht="26" customHeight="1">
      <c r="A52" s="5" t="inlineStr">
        <is>
          <t>Strategy</t>
        </is>
      </c>
      <c r="B52" s="5" t="inlineStr">
        <is>
          <t>Regime</t>
        </is>
      </c>
      <c r="C52" s="5" t="inlineStr">
        <is>
          <t>Sharpe</t>
        </is>
      </c>
      <c r="D52" s="5" t="inlineStr">
        <is>
          <t>N</t>
        </is>
      </c>
      <c r="E52" s="5" t="inlineStr">
        <is>
          <t>AC1</t>
        </is>
      </c>
      <c r="F52" s="5" t="inlineStr">
        <is>
          <t>N_eff</t>
        </is>
      </c>
      <c r="G52" s="5" t="inlineStr">
        <is>
          <t>t-stat</t>
        </is>
      </c>
      <c r="H52" s="5" t="inlineStr">
        <is>
          <t>Bonferroni
(m=28)</t>
        </is>
      </c>
      <c r="I52" s="5" t="inlineStr">
        <is>
          <t>Flag</t>
        </is>
      </c>
    </row>
    <row r="53">
      <c r="A53" s="6" t="inlineStr">
        <is>
          <t>Momentum: MA(1,20)</t>
        </is>
      </c>
      <c r="B53" s="10" t="inlineStr">
        <is>
          <t>Concave Contango</t>
        </is>
      </c>
      <c r="C53" s="7" t="n">
        <v>-0.5547</v>
      </c>
      <c r="D53" s="10" t="n">
        <v>2628</v>
      </c>
      <c r="E53" s="10" t="n">
        <v>-0.0231</v>
      </c>
      <c r="F53" s="10" t="n">
        <v>2752</v>
      </c>
      <c r="G53" s="10" t="n">
        <v>-1.791</v>
      </c>
      <c r="H53" s="10" t="inlineStr">
        <is>
          <t>—</t>
        </is>
      </c>
      <c r="I53" s="10" t="n"/>
    </row>
    <row r="54">
      <c r="A54" s="6" t="inlineStr">
        <is>
          <t>Momentum: MA(1,20)</t>
        </is>
      </c>
      <c r="B54" s="10" t="inlineStr">
        <is>
          <t>Convex Contango</t>
        </is>
      </c>
      <c r="C54" s="7" t="n">
        <v>-0.7933</v>
      </c>
      <c r="D54" s="10" t="n">
        <v>866</v>
      </c>
      <c r="E54" s="10" t="n">
        <v>-0.0184</v>
      </c>
      <c r="F54" s="10" t="n">
        <v>898</v>
      </c>
      <c r="G54" s="10" t="n">
        <v>-1.471</v>
      </c>
      <c r="H54" s="10" t="inlineStr">
        <is>
          <t>—</t>
        </is>
      </c>
      <c r="I54" s="10" t="n"/>
    </row>
    <row r="55">
      <c r="A55" s="6" t="inlineStr">
        <is>
          <t>Momentum: MA(1,20)</t>
        </is>
      </c>
      <c r="B55" s="10" t="inlineStr">
        <is>
          <t>Convex Backwardation</t>
        </is>
      </c>
      <c r="C55" s="7" t="n">
        <v>-0.2406</v>
      </c>
      <c r="D55" s="10" t="n">
        <v>667</v>
      </c>
      <c r="E55" s="10" t="n">
        <v>-0.0117</v>
      </c>
      <c r="F55" s="10" t="n">
        <v>683</v>
      </c>
      <c r="G55" s="10" t="n">
        <v>-0.391</v>
      </c>
      <c r="H55" s="10" t="inlineStr">
        <is>
          <t>—</t>
        </is>
      </c>
      <c r="I55" s="10" t="n"/>
    </row>
    <row r="56">
      <c r="A56" s="6" t="inlineStr">
        <is>
          <t>Momentum: MA(1,20)</t>
        </is>
      </c>
      <c r="B56" s="10" t="inlineStr">
        <is>
          <t>Concave Backwardation</t>
        </is>
      </c>
      <c r="C56" s="7" t="n">
        <v>0.4174</v>
      </c>
      <c r="D56" s="10" t="n">
        <v>690</v>
      </c>
      <c r="E56" s="10" t="n">
        <v>-0.0061</v>
      </c>
      <c r="F56" s="10" t="n">
        <v>698</v>
      </c>
      <c r="G56" s="10" t="n">
        <v>0.6909999999999999</v>
      </c>
      <c r="H56" s="10" t="inlineStr">
        <is>
          <t>—</t>
        </is>
      </c>
      <c r="I56" s="10" t="n"/>
    </row>
    <row r="57">
      <c r="A57" s="6" t="inlineStr">
        <is>
          <t>Momentum: MA(5,60)</t>
        </is>
      </c>
      <c r="B57" s="10" t="inlineStr">
        <is>
          <t>Concave Contango</t>
        </is>
      </c>
      <c r="C57" s="7" t="n">
        <v>-0.0103</v>
      </c>
      <c r="D57" s="10" t="n">
        <v>2613</v>
      </c>
      <c r="E57" s="10" t="n">
        <v>-0.0415</v>
      </c>
      <c r="F57" s="10" t="n">
        <v>2839</v>
      </c>
      <c r="G57" s="10" t="n">
        <v>-0.033</v>
      </c>
      <c r="H57" s="10" t="inlineStr">
        <is>
          <t>—</t>
        </is>
      </c>
      <c r="I57" s="10" t="n"/>
    </row>
    <row r="58">
      <c r="A58" s="6" t="inlineStr">
        <is>
          <t>Momentum: MA(5,60)</t>
        </is>
      </c>
      <c r="B58" s="10" t="inlineStr">
        <is>
          <t>Convex Contango</t>
        </is>
      </c>
      <c r="C58" s="7" t="n">
        <v>-0.4471</v>
      </c>
      <c r="D58" s="10" t="n">
        <v>866</v>
      </c>
      <c r="E58" s="10" t="n">
        <v>-0.0168</v>
      </c>
      <c r="F58" s="10" t="n">
        <v>896</v>
      </c>
      <c r="G58" s="10" t="n">
        <v>-0.829</v>
      </c>
      <c r="H58" s="10" t="inlineStr">
        <is>
          <t>—</t>
        </is>
      </c>
      <c r="I58" s="10" t="n"/>
    </row>
    <row r="59">
      <c r="A59" s="11" t="inlineStr">
        <is>
          <t>Momentum: MA(5,60)</t>
        </is>
      </c>
      <c r="B59" s="12" t="inlineStr">
        <is>
          <t>Convex Backwardation</t>
        </is>
      </c>
      <c r="C59" s="13" t="n">
        <v>-0.3773</v>
      </c>
      <c r="D59" s="12" t="n">
        <v>667</v>
      </c>
      <c r="E59" s="12" t="n">
        <v>-0.0018</v>
      </c>
      <c r="F59" s="12" t="n">
        <v>669</v>
      </c>
      <c r="G59" s="12" t="n">
        <v>-0.614</v>
      </c>
      <c r="H59" s="12" t="inlineStr">
        <is>
          <t>—</t>
        </is>
      </c>
      <c r="I59" s="12" t="n"/>
    </row>
    <row r="60">
      <c r="A60" s="6" t="inlineStr">
        <is>
          <t>Momentum: MA(5,60)</t>
        </is>
      </c>
      <c r="B60" s="10" t="inlineStr">
        <is>
          <t>Concave Backwardation</t>
        </is>
      </c>
      <c r="C60" s="7" t="n">
        <v>0.4777</v>
      </c>
      <c r="D60" s="10" t="n">
        <v>616</v>
      </c>
      <c r="E60" s="10" t="n">
        <v>0.0168</v>
      </c>
      <c r="F60" s="10" t="n">
        <v>596</v>
      </c>
      <c r="G60" s="10" t="n">
        <v>0.747</v>
      </c>
      <c r="H60" s="10" t="inlineStr">
        <is>
          <t>—</t>
        </is>
      </c>
      <c r="I60" s="10" t="n"/>
    </row>
    <row r="61">
      <c r="A61" s="6" t="inlineStr">
        <is>
          <t>Momentum: MA(20,250)</t>
        </is>
      </c>
      <c r="B61" s="10" t="inlineStr">
        <is>
          <t>Concave Contango</t>
        </is>
      </c>
      <c r="C61" s="7" t="n">
        <v>0.097</v>
      </c>
      <c r="D61" s="10" t="n">
        <v>2577</v>
      </c>
      <c r="E61" s="10" t="n">
        <v>-0.0461</v>
      </c>
      <c r="F61" s="10" t="n">
        <v>2826</v>
      </c>
      <c r="G61" s="10" t="n">
        <v>0.31</v>
      </c>
      <c r="H61" s="10" t="inlineStr">
        <is>
          <t>—</t>
        </is>
      </c>
      <c r="I61" s="10" t="n"/>
    </row>
    <row r="62">
      <c r="A62" s="6" t="inlineStr">
        <is>
          <t>Momentum: MA(20,250)</t>
        </is>
      </c>
      <c r="B62" s="10" t="inlineStr">
        <is>
          <t>Convex Contango</t>
        </is>
      </c>
      <c r="C62" s="7" t="n">
        <v>0.3136</v>
      </c>
      <c r="D62" s="10" t="n">
        <v>861</v>
      </c>
      <c r="E62" s="10" t="n">
        <v>-0.0113</v>
      </c>
      <c r="F62" s="10" t="n">
        <v>881</v>
      </c>
      <c r="G62" s="10" t="n">
        <v>0.58</v>
      </c>
      <c r="H62" s="10" t="inlineStr">
        <is>
          <t>—</t>
        </is>
      </c>
      <c r="I62" s="10" t="n"/>
    </row>
    <row r="63">
      <c r="A63" s="11" t="inlineStr">
        <is>
          <t>Momentum: MA(20,250)</t>
        </is>
      </c>
      <c r="B63" s="12" t="inlineStr">
        <is>
          <t>Convex Backwardation</t>
        </is>
      </c>
      <c r="C63" s="13" t="n">
        <v>-0.9088000000000001</v>
      </c>
      <c r="D63" s="12" t="n">
        <v>650</v>
      </c>
      <c r="E63" s="12" t="n">
        <v>-0.0178</v>
      </c>
      <c r="F63" s="12" t="n">
        <v>674</v>
      </c>
      <c r="G63" s="12" t="n">
        <v>-1.46</v>
      </c>
      <c r="H63" s="12" t="inlineStr">
        <is>
          <t>—</t>
        </is>
      </c>
      <c r="I63" s="12" t="n"/>
    </row>
    <row r="64">
      <c r="A64" s="6" t="inlineStr">
        <is>
          <t>Momentum: MA(20,250)</t>
        </is>
      </c>
      <c r="B64" s="10" t="inlineStr">
        <is>
          <t>Concave Backwardation</t>
        </is>
      </c>
      <c r="C64" s="7" t="n">
        <v>1.0397</v>
      </c>
      <c r="D64" s="10" t="n">
        <v>489</v>
      </c>
      <c r="E64" s="10" t="n">
        <v>0.0065</v>
      </c>
      <c r="F64" s="10" t="n">
        <v>483</v>
      </c>
      <c r="G64" s="10" t="n">
        <v>1.448</v>
      </c>
      <c r="H64" s="10" t="inlineStr">
        <is>
          <t>—</t>
        </is>
      </c>
      <c r="I64" s="10" t="n"/>
    </row>
    <row r="65">
      <c r="A65" s="6" t="inlineStr">
        <is>
          <t>Carry: V1 Level</t>
        </is>
      </c>
      <c r="B65" s="10" t="inlineStr">
        <is>
          <t>Concave Contango</t>
        </is>
      </c>
      <c r="C65" s="7" t="n">
        <v>0.0849</v>
      </c>
      <c r="D65" s="10" t="n">
        <v>2657</v>
      </c>
      <c r="E65" s="10" t="n">
        <v>-0.0386</v>
      </c>
      <c r="F65" s="10" t="n">
        <v>2870</v>
      </c>
      <c r="G65" s="10" t="n">
        <v>0.276</v>
      </c>
      <c r="H65" s="10" t="inlineStr">
        <is>
          <t>—</t>
        </is>
      </c>
      <c r="I65" s="10" t="n"/>
    </row>
    <row r="66">
      <c r="A66" s="6" t="inlineStr">
        <is>
          <t>Carry: V1 Level</t>
        </is>
      </c>
      <c r="B66" s="10" t="inlineStr">
        <is>
          <t>Convex Contango</t>
        </is>
      </c>
      <c r="C66" s="7" t="n">
        <v>-1.3366</v>
      </c>
      <c r="D66" s="10" t="n">
        <v>838</v>
      </c>
      <c r="E66" s="10" t="n">
        <v>-0.0271</v>
      </c>
      <c r="F66" s="10" t="n">
        <v>885</v>
      </c>
      <c r="G66" s="10" t="n">
        <v>-2.437</v>
      </c>
      <c r="H66" s="10" t="inlineStr">
        <is>
          <t>—</t>
        </is>
      </c>
      <c r="I66" s="10" t="n"/>
    </row>
    <row r="67">
      <c r="A67" s="6" t="inlineStr">
        <is>
          <t>Carry: V1 Level</t>
        </is>
      </c>
      <c r="B67" s="10" t="inlineStr">
        <is>
          <t>Convex Backwardation</t>
        </is>
      </c>
      <c r="C67" s="7" t="n">
        <v>-0.5149</v>
      </c>
      <c r="D67" s="10" t="n">
        <v>661</v>
      </c>
      <c r="E67" s="10" t="n">
        <v>-0.0165</v>
      </c>
      <c r="F67" s="10" t="n">
        <v>683</v>
      </c>
      <c r="G67" s="10" t="n">
        <v>-0.834</v>
      </c>
      <c r="H67" s="10" t="inlineStr">
        <is>
          <t>—</t>
        </is>
      </c>
      <c r="I67" s="10" t="n"/>
    </row>
    <row r="68">
      <c r="A68" s="6" t="inlineStr">
        <is>
          <t>Carry: V1 Level</t>
        </is>
      </c>
      <c r="B68" s="10" t="inlineStr">
        <is>
          <t>Concave Backwardation</t>
        </is>
      </c>
      <c r="C68" s="7" t="n">
        <v>-1.3695</v>
      </c>
      <c r="D68" s="10" t="n">
        <v>812</v>
      </c>
      <c r="E68" s="10" t="n">
        <v>0.0805</v>
      </c>
      <c r="F68" s="10" t="n">
        <v>691</v>
      </c>
      <c r="G68" s="10" t="n">
        <v>-2.458</v>
      </c>
      <c r="H68" s="10" t="inlineStr">
        <is>
          <t>—</t>
        </is>
      </c>
      <c r="I68" s="10" t="inlineStr">
        <is>
          <t>CAUTION: positive autocorr, effective N materially below nominal N</t>
        </is>
      </c>
    </row>
    <row r="69">
      <c r="A69" s="6" t="inlineStr">
        <is>
          <t>Carry: V2 Z-score</t>
        </is>
      </c>
      <c r="B69" s="10" t="inlineStr">
        <is>
          <t>Concave Contango</t>
        </is>
      </c>
      <c r="C69" s="7" t="n">
        <v>0.0484</v>
      </c>
      <c r="D69" s="10" t="n">
        <v>2625</v>
      </c>
      <c r="E69" s="10" t="n">
        <v>-0.0111</v>
      </c>
      <c r="F69" s="10" t="n">
        <v>2684</v>
      </c>
      <c r="G69" s="10" t="n">
        <v>0.156</v>
      </c>
      <c r="H69" s="10" t="inlineStr">
        <is>
          <t>—</t>
        </is>
      </c>
      <c r="I69" s="10" t="n"/>
    </row>
    <row r="70">
      <c r="A70" s="6" t="inlineStr">
        <is>
          <t>Carry: V2 Z-score</t>
        </is>
      </c>
      <c r="B70" s="10" t="inlineStr">
        <is>
          <t>Convex Contango</t>
        </is>
      </c>
      <c r="C70" s="7" t="n">
        <v>-0.3086</v>
      </c>
      <c r="D70" s="10" t="n">
        <v>866</v>
      </c>
      <c r="E70" s="10" t="n">
        <v>-0.0188</v>
      </c>
      <c r="F70" s="10" t="n">
        <v>899</v>
      </c>
      <c r="G70" s="10" t="n">
        <v>-0.572</v>
      </c>
      <c r="H70" s="10" t="inlineStr">
        <is>
          <t>—</t>
        </is>
      </c>
      <c r="I70" s="10" t="n"/>
    </row>
    <row r="71">
      <c r="A71" s="14" t="inlineStr">
        <is>
          <t>Carry: V2 Z-score</t>
        </is>
      </c>
      <c r="B71" s="15" t="inlineStr">
        <is>
          <t>Convex Backwardation</t>
        </is>
      </c>
      <c r="C71" s="16" t="n">
        <v>-0.1122</v>
      </c>
      <c r="D71" s="15" t="n">
        <v>667</v>
      </c>
      <c r="E71" s="15" t="n">
        <v>0.0041</v>
      </c>
      <c r="F71" s="15" t="n">
        <v>662</v>
      </c>
      <c r="G71" s="15" t="n">
        <v>-0.182</v>
      </c>
      <c r="H71" s="15" t="inlineStr">
        <is>
          <t>—</t>
        </is>
      </c>
      <c r="I71" s="15" t="n"/>
    </row>
    <row r="72">
      <c r="A72" s="6" t="inlineStr">
        <is>
          <t>Carry: V2 Z-score</t>
        </is>
      </c>
      <c r="B72" s="10" t="inlineStr">
        <is>
          <t>Concave Backwardation</t>
        </is>
      </c>
      <c r="C72" s="7" t="n">
        <v>-0.3617</v>
      </c>
      <c r="D72" s="10" t="n">
        <v>657</v>
      </c>
      <c r="E72" s="10" t="n">
        <v>0.066</v>
      </c>
      <c r="F72" s="10" t="n">
        <v>576</v>
      </c>
      <c r="G72" s="10" t="n">
        <v>-0.584</v>
      </c>
      <c r="H72" s="10" t="inlineStr">
        <is>
          <t>—</t>
        </is>
      </c>
      <c r="I72" s="10" t="n"/>
    </row>
    <row r="73">
      <c r="A73" s="6" t="inlineStr">
        <is>
          <t>Carry: V3 Carry-Mom</t>
        </is>
      </c>
      <c r="B73" s="10" t="inlineStr">
        <is>
          <t>Concave Contango</t>
        </is>
      </c>
      <c r="C73" s="7" t="n">
        <v>0.0213</v>
      </c>
      <c r="D73" s="10" t="n">
        <v>2663</v>
      </c>
      <c r="E73" s="10" t="n">
        <v>-0.0045</v>
      </c>
      <c r="F73" s="10" t="n">
        <v>2687</v>
      </c>
      <c r="G73" s="10" t="n">
        <v>0.06900000000000001</v>
      </c>
      <c r="H73" s="10" t="inlineStr">
        <is>
          <t>—</t>
        </is>
      </c>
      <c r="I73" s="10" t="n"/>
    </row>
    <row r="74">
      <c r="A74" s="6" t="inlineStr">
        <is>
          <t>Carry: V3 Carry-Mom</t>
        </is>
      </c>
      <c r="B74" s="10" t="inlineStr">
        <is>
          <t>Convex Contango</t>
        </is>
      </c>
      <c r="C74" s="7" t="n">
        <v>0.3357</v>
      </c>
      <c r="D74" s="10" t="n">
        <v>866</v>
      </c>
      <c r="E74" s="10" t="n">
        <v>0.0121</v>
      </c>
      <c r="F74" s="10" t="n">
        <v>845</v>
      </c>
      <c r="G74" s="10" t="n">
        <v>0.622</v>
      </c>
      <c r="H74" s="10" t="inlineStr">
        <is>
          <t>—</t>
        </is>
      </c>
      <c r="I74" s="10" t="n"/>
    </row>
    <row r="75">
      <c r="A75" s="11" t="inlineStr">
        <is>
          <t>Carry: V3 Carry-Mom</t>
        </is>
      </c>
      <c r="B75" s="12" t="inlineStr">
        <is>
          <t>Convex Backwardation</t>
        </is>
      </c>
      <c r="C75" s="13" t="n">
        <v>0.1512</v>
      </c>
      <c r="D75" s="12" t="n">
        <v>667</v>
      </c>
      <c r="E75" s="12" t="n">
        <v>-0.0204</v>
      </c>
      <c r="F75" s="12" t="n">
        <v>695</v>
      </c>
      <c r="G75" s="12" t="n">
        <v>0.246</v>
      </c>
      <c r="H75" s="12" t="inlineStr">
        <is>
          <t>—</t>
        </is>
      </c>
      <c r="I75" s="12" t="n"/>
    </row>
    <row r="76">
      <c r="A76" s="6" t="inlineStr">
        <is>
          <t>Carry: V3 Carry-Mom</t>
        </is>
      </c>
      <c r="B76" s="10" t="inlineStr">
        <is>
          <t>Concave Backwardation</t>
        </is>
      </c>
      <c r="C76" s="7" t="n">
        <v>-0.0602</v>
      </c>
      <c r="D76" s="10" t="n">
        <v>848</v>
      </c>
      <c r="E76" s="10" t="n">
        <v>0.0625</v>
      </c>
      <c r="F76" s="10" t="n">
        <v>748</v>
      </c>
      <c r="G76" s="10" t="n">
        <v>-0.11</v>
      </c>
      <c r="H76" s="10" t="inlineStr">
        <is>
          <t>—</t>
        </is>
      </c>
      <c r="I76" s="10" t="n"/>
    </row>
    <row r="77">
      <c r="A77" s="6" t="inlineStr">
        <is>
          <t>Value: F8 5yr +/-10%</t>
        </is>
      </c>
      <c r="B77" s="10" t="inlineStr">
        <is>
          <t>Concave Contango</t>
        </is>
      </c>
      <c r="C77" s="7" t="n">
        <v>0.2582</v>
      </c>
      <c r="D77" s="10" t="n">
        <v>1167</v>
      </c>
      <c r="E77" s="10" t="n">
        <v>-0.0527</v>
      </c>
      <c r="F77" s="10" t="n">
        <v>1297</v>
      </c>
      <c r="G77" s="10" t="n">
        <v>0.556</v>
      </c>
      <c r="H77" s="10" t="inlineStr">
        <is>
          <t>—</t>
        </is>
      </c>
      <c r="I77" s="10" t="n"/>
    </row>
    <row r="78">
      <c r="A78" s="6" t="inlineStr">
        <is>
          <t>Value: F8 5yr +/-10%</t>
        </is>
      </c>
      <c r="B78" s="10" t="inlineStr">
        <is>
          <t>Convex Contango</t>
        </is>
      </c>
      <c r="C78" s="7" t="n">
        <v>1.6123</v>
      </c>
      <c r="D78" s="10" t="n">
        <v>357</v>
      </c>
      <c r="E78" s="10" t="n">
        <v>-0.1009</v>
      </c>
      <c r="F78" s="10" t="n">
        <v>437</v>
      </c>
      <c r="G78" s="10" t="n">
        <v>1.919</v>
      </c>
      <c r="H78" s="10" t="inlineStr">
        <is>
          <t>—</t>
        </is>
      </c>
      <c r="I78" s="10" t="n"/>
    </row>
    <row r="79">
      <c r="A79" s="11" t="inlineStr">
        <is>
          <t>Value: F8 5yr +/-10%</t>
        </is>
      </c>
      <c r="B79" s="12" t="inlineStr">
        <is>
          <t>Convex Backwardation</t>
        </is>
      </c>
      <c r="C79" s="13" t="n">
        <v>1.3294</v>
      </c>
      <c r="D79" s="12" t="n">
        <v>304</v>
      </c>
      <c r="E79" s="12" t="n">
        <v>-0.0469</v>
      </c>
      <c r="F79" s="12" t="n">
        <v>334</v>
      </c>
      <c r="G79" s="12" t="n">
        <v>1.46</v>
      </c>
      <c r="H79" s="12" t="inlineStr">
        <is>
          <t>—</t>
        </is>
      </c>
      <c r="I79" s="12" t="n"/>
    </row>
    <row r="80">
      <c r="A80" s="6" t="inlineStr">
        <is>
          <t>Value: F8 5yr +/-10%</t>
        </is>
      </c>
      <c r="B80" s="10" t="inlineStr">
        <is>
          <t>Concave Backwardation</t>
        </is>
      </c>
      <c r="C80" s="7" t="n">
        <v>-1.0148</v>
      </c>
      <c r="D80" s="10" t="n">
        <v>283</v>
      </c>
      <c r="E80" s="10" t="n">
        <v>-0.0008</v>
      </c>
      <c r="F80" s="10" t="n">
        <v>283</v>
      </c>
      <c r="G80" s="10" t="n">
        <v>-1.075</v>
      </c>
      <c r="H80" s="10" t="inlineStr">
        <is>
          <t>—</t>
        </is>
      </c>
      <c r="I80" s="10" t="n"/>
    </row>
  </sheetData>
  <mergeCells count="2">
    <mergeCell ref="A1:F1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2026-07-23T00:52:52Z</dcterms:created>
  <dcterms:modified xmlns:dcterms="http://purl.org/dc/terms/" xmlns:xsi="http://www.w3.org/2001/XMLSchema-instance" xsi:type="dcterms:W3CDTF">2026-07-23T02:21:33Z</dcterms:modified>
</cp:coreProperties>
</file>